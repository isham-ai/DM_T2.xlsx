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 sheetId="1" state="visible" r:id="rId2"/>
    <sheet name="Overview" sheetId="2" state="visible" r:id="rId3"/>
    <sheet name="Pillars" sheetId="3" state="visible" r:id="rId4"/>
    <sheet name="Hooks and CTAs" sheetId="4" state="visible" r:id="rId5"/>
    <sheet name="Hashtags" sheetId="5" state="visible" r:id="rId6"/>
    <sheet name="Posting Times" sheetId="6" state="visible" r:id="rId7"/>
    <sheet name="Tracker" sheetId="7" state="visible" r:id="rId8"/>
  </sheets>
  <definedNames>
    <definedName function="false" hidden="false" localSheetId="0" name="_xlnm.Print_Titles" vbProcedure="false">Calendar!$4:$4</definedName>
    <definedName function="false" hidden="true" localSheetId="0" name="_xlnm._FilterDatabase" vbProcedure="false">Calendar!$A$4:$N$52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<sst xmlns="http://schemas.openxmlformats.org/spreadsheetml/2006/main" count="795" uniqueCount="481">
  <si>
    <t xml:space="preserve">Flowline - 30-Day Social Media Content Calendar</t>
  </si>
  <si>
    <t xml:space="preserve">Day 1 = Monday 2 November 2026. Goal: follower growth and reach. All times IST. Edit only the Status and Notes columns; the rest is the approved plan.</t>
  </si>
  <si>
    <t xml:space="preserve">Day</t>
  </si>
  <si>
    <t xml:space="preserve">Week</t>
  </si>
  <si>
    <t xml:space="preserve">Date</t>
  </si>
  <si>
    <t xml:space="preserve">Platform</t>
  </si>
  <si>
    <t xml:space="preserve">Pillar</t>
  </si>
  <si>
    <t xml:space="preserve">Format</t>
  </si>
  <si>
    <t xml:space="preserve">Hook (first line)</t>
  </si>
  <si>
    <t xml:space="preserve">Caption</t>
  </si>
  <si>
    <t xml:space="preserve">CTA</t>
  </si>
  <si>
    <t xml:space="preserve">Hashtags</t>
  </si>
  <si>
    <t xml:space="preserve">Time (IST)</t>
  </si>
  <si>
    <t xml:space="preserve">Status</t>
  </si>
  <si>
    <t xml:space="preserve">Notes</t>
  </si>
  <si>
    <t xml:space="preserve">W1</t>
  </si>
  <si>
    <t xml:space="preserve">Mon</t>
  </si>
  <si>
    <t xml:space="preserve">LinkedIn</t>
  </si>
  <si>
    <t xml:space="preserve">Educate</t>
  </si>
  <si>
    <t xml:space="preserve">Text + process diagram image</t>
  </si>
  <si>
    <t xml:space="preserve">Most ops teams don't have a workflow problem. They have a handoff problem.</t>
  </si>
  <si>
    <t xml:space="preserve">Every delay we audit traces back to the same three gaps: work leaves a tool, waits for a human, and re-enters a different tool. Map those three handoffs before you buy another subscription. The diagram shows the two that cost the most hours in a 50-200 person company.</t>
  </si>
  <si>
    <t xml:space="preserve">Which handoff breaks first in your team? Tell me in the comments.</t>
  </si>
  <si>
    <t xml:space="preserve">#RevOps #WorkflowAutomation #ProcessImprovement #B2BSaaS</t>
  </si>
  <si>
    <t xml:space="preserve">9:00 AM</t>
  </si>
  <si>
    <t xml:space="preserve">Not started</t>
  </si>
  <si>
    <t xml:space="preserve">Instagram</t>
  </si>
  <si>
    <t xml:space="preserve">Carousel, 8 slides</t>
  </si>
  <si>
    <t xml:space="preserve">Your team isn't slow. Your handoffs are.</t>
  </si>
  <si>
    <t xml:space="preserve">Swipe for the three handoff gaps we find in almost every ops audit - and the 10-minute fix for each one. Slide 6 is the one nobody wants to hear. Save this for your next sprint planning.</t>
  </si>
  <si>
    <t xml:space="preserve">Save it and send it to the ops person who needs it.</t>
  </si>
  <si>
    <t xml:space="preserve">#WorkflowAutomation #RevOps #OpsManager #ProcessImprovement #NoCode #B2BSaaS #OpsLife #AutomationTips</t>
  </si>
  <si>
    <t xml:space="preserve">12:30 PM</t>
  </si>
  <si>
    <t xml:space="preserve">Tue</t>
  </si>
  <si>
    <t xml:space="preserve">Point of view</t>
  </si>
  <si>
    <t xml:space="preserve">Text only</t>
  </si>
  <si>
    <t xml:space="preserve">Unpopular opinion: your automation stack is why your team feels slow.</t>
  </si>
  <si>
    <t xml:space="preserve">Every tool you add is another place work can get stuck. We have seen 40-person ops teams running nine tools to do what two could. Speed comes from fewer, better-connected steps - not from more subscriptions. Cut one tool this quarter and watch what happens to your cycle time.</t>
  </si>
  <si>
    <t xml:space="preserve">Agree or disagree? I reply to every comment.</t>
  </si>
  <si>
    <t xml:space="preserve">#SaaS #RevOps #Automation #B2B #OperationsManagement</t>
  </si>
  <si>
    <t xml:space="preserve">8:30 AM</t>
  </si>
  <si>
    <t xml:space="preserve">Reel, 30s talking head</t>
  </si>
  <si>
    <t xml:space="preserve">POV: your Monday report takes four hours and is out of date when it lands.</t>
  </si>
  <si>
    <t xml:space="preserve">If your report is a screenshot of last week, it is a museum piece, not a decision tool. Build the pipeline once and let the number update itself. That is the whole difference between reporting and monitoring.</t>
  </si>
  <si>
    <t xml:space="preserve">Follow for one ops fix a day this month.</t>
  </si>
  <si>
    <t xml:space="preserve">#OpsLife #WorkflowAutomation #RevOps #Productivity #B2BSaaS #NoCode #AutomationTips</t>
  </si>
  <si>
    <t xml:space="preserve">7:30 PM</t>
  </si>
  <si>
    <t xml:space="preserve">Wed</t>
  </si>
  <si>
    <t xml:space="preserve">Proof</t>
  </si>
  <si>
    <t xml:space="preserve">Document carousel (PDF), 6 pages</t>
  </si>
  <si>
    <t xml:space="preserve">A 6-hour weekly report became 11 minutes. Same data, same team.</t>
  </si>
  <si>
    <t xml:space="preserve">The workflow: intake form, auto-dedupe, Slack approval, live dashboard. Three steps removed, nothing added, no new headcount. Page 4 shows the exact builder setup. Names and numbers shared with the customer's permission.</t>
  </si>
  <si>
    <t xml:space="preserve">Comment 'PLAYBOOK' and I will send the full workflow map.</t>
  </si>
  <si>
    <t xml:space="preserve">#CustomerStory #RevOps #WorkflowAutomation #B2BSaaS</t>
  </si>
  <si>
    <t xml:space="preserve">Carousel, 6 slides</t>
  </si>
  <si>
    <t xml:space="preserve">6 hours -&gt; 11 minutes. Same data. Same team.</t>
  </si>
  <si>
    <t xml:space="preserve">A 60-person logistics company rebuilt one weekly report and got 11 hours back per week. Slide 4 has the before/after workflow. The fix was not a new tool - it was deleting three steps.</t>
  </si>
  <si>
    <t xml:space="preserve">Save this and show it to whoever owns your Monday report.</t>
  </si>
  <si>
    <t xml:space="preserve">#CaseStudy #WorkflowAutomation #OpsManager #ProcessImprovement #B2BSaaS #RevOps #BusinessGrowth</t>
  </si>
  <si>
    <t xml:space="preserve">Thu</t>
  </si>
  <si>
    <t xml:space="preserve">Product in action</t>
  </si>
  <si>
    <t xml:space="preserve">Screen-recording video, 45s</t>
  </si>
  <si>
    <t xml:space="preserve">You can build this approval chain in 8 minutes. No engineer required.</t>
  </si>
  <si>
    <t xml:space="preserve">Four steps, one builder, zero code: form submitted, request routed to the right owner, reminder after 24 hours, record logged automatically. We record the timer so you can see how long it actually takes.</t>
  </si>
  <si>
    <t xml:space="preserve">Book a 15-minute walkthrough - link in the first comment.</t>
  </si>
  <si>
    <t xml:space="preserve">#NoCode #WorkflowAutomation #ProductDemo #B2BSaaS</t>
  </si>
  <si>
    <t xml:space="preserve">Reel, 20s screen recording</t>
  </si>
  <si>
    <t xml:space="preserve">Watch a 4-step approval chain build itself in 20 seconds.</t>
  </si>
  <si>
    <t xml:space="preserve">No drag-and-drop montage. This is the real build, sped up 4x. The reminder rule on the last step is the part people forget, and it is the part that saves the SLA.</t>
  </si>
  <si>
    <t xml:space="preserve">Follow for the full build series this month.</t>
  </si>
  <si>
    <t xml:space="preserve">#NoCode #AutomationTips #WorkflowAutomation #OpsLife #B2BSaaS #TechTeams #Productivity</t>
  </si>
  <si>
    <t xml:space="preserve">Fri</t>
  </si>
  <si>
    <t xml:space="preserve">Community</t>
  </si>
  <si>
    <t xml:space="preserve">Single image + story poll</t>
  </si>
  <si>
    <t xml:space="preserve">Be honest: how many tabs do you have open right now?</t>
  </si>
  <si>
    <t xml:space="preserve">We asked our community and the median answer was 31. Tab sprawl is usually a symptom of a process nobody documented. Tell me your number - no judgement, I am at 24 today.</t>
  </si>
  <si>
    <t xml:space="preserve">Vote in the story poll and drop your number in the comments.</t>
  </si>
  <si>
    <t xml:space="preserve">#OpsLife #WorkflowAutomation #Productivity #WorkSmarter #B2BSaaS #TechTeams</t>
  </si>
  <si>
    <t xml:space="preserve">6:30 PM</t>
  </si>
  <si>
    <t xml:space="preserve">Sat</t>
  </si>
  <si>
    <t xml:space="preserve">Stories + engagement</t>
  </si>
  <si>
    <t xml:space="preserve">3 stories, no feed post</t>
  </si>
  <si>
    <t xml:space="preserve">No feed post today - engagement sprint.</t>
  </si>
  <si>
    <t xml:space="preserve">Three stories: a 60-second tip, a poll on reporting pain, a behind-the-scenes shot of the build. Then 20 minutes commenting on 15 posts from target accounts and replying to every comment from this week.</t>
  </si>
  <si>
    <t xml:space="preserve">Reply to every DM within 24 hours.</t>
  </si>
  <si>
    <t xml:space="preserve">-</t>
  </si>
  <si>
    <t xml:space="preserve">11:00 AM</t>
  </si>
  <si>
    <t xml:space="preserve">Sun</t>
  </si>
  <si>
    <t xml:space="preserve">Planning day</t>
  </si>
  <si>
    <t xml:space="preserve">No publishing</t>
  </si>
  <si>
    <t xml:space="preserve">Week 1 review + Week 2 batch.</t>
  </si>
  <si>
    <t xml:space="preserve">Pull the numbers into the tracker: reach, saves, profile visits, follower delta. Note the two best hooks and reuse their structure next week. Batch-shoot next week's carousels in one 90-minute block.</t>
  </si>
  <si>
    <t xml:space="preserve">Ship Week 2 by Monday 8 AM.</t>
  </si>
  <si>
    <t xml:space="preserve">7:00 PM</t>
  </si>
  <si>
    <t xml:space="preserve">W2</t>
  </si>
  <si>
    <t xml:space="preserve">Text + 3-question checklist</t>
  </si>
  <si>
    <t xml:space="preserve">The 3-question test we run before automating anything.</t>
  </si>
  <si>
    <t xml:space="preserve">1. Does this step happen more than 10 times a month? 2. Is the rule the same every time? 3. Does a human add judgement here, or just keystrokes? Two yeses and it is a candidate. If question 3 is judgement, automate the handoff, not the decision.</t>
  </si>
  <si>
    <t xml:space="preserve">Which of your processes fails question 3? Tell me below.</t>
  </si>
  <si>
    <t xml:space="preserve">#ProcessImprovement #RevOps #WorkflowAutomation #OperationsManagement</t>
  </si>
  <si>
    <t xml:space="preserve">Carousel, 7 slides</t>
  </si>
  <si>
    <t xml:space="preserve">Steal our 3-question automation test.</t>
  </si>
  <si>
    <t xml:space="preserve">Before you automate anything, run this test. Most teams automate the wrong step first, then blame the tool. Swipe for the test, the two failure patterns, and a worked example from a support team.</t>
  </si>
  <si>
    <t xml:space="preserve">Save this for your next automation planning session.</t>
  </si>
  <si>
    <t xml:space="preserve">#WorkflowAutomation #AutomationTips #OpsManager #NoCode #ProcessImprovement #B2BSaaS #OpsLife</t>
  </si>
  <si>
    <t xml:space="preserve">If your ops hire spends 60% of the week moving data, you hired a human integration layer.</t>
  </si>
  <si>
    <t xml:space="preserve">That is not a people problem, it is a design problem. The most expensive automation you never bought is the one you are paying a salary for. Audit the week before you hire again: you may be one workflow away from not needing the role.</t>
  </si>
  <si>
    <t xml:space="preserve">What percentage of your week is copy-paste? Honest answers only.</t>
  </si>
  <si>
    <t xml:space="preserve">#Hiring #OpsLeader #WorkflowAutomation #B2BSaaS #RevOps</t>
  </si>
  <si>
    <t xml:space="preserve">Reel, 25s</t>
  </si>
  <si>
    <t xml:space="preserve">If your ops hire is a human copy-paste machine, this one is for you.</t>
  </si>
  <si>
    <t xml:space="preserve">Two numbers tell you whether to hire or automate: how many times a week the task repeats, and how many minutes each repeat takes. Above 40 repeats a month, automate first. Below that, hire or document.</t>
  </si>
  <si>
    <t xml:space="preserve">Send this to the person who owns your hiring plan.</t>
  </si>
  <si>
    <t xml:space="preserve">#OpsLife #Hiring #WorkflowAutomation #Productivity #B2BSaaS #OpsManager</t>
  </si>
  <si>
    <t xml:space="preserve">Text + customer quote card</t>
  </si>
  <si>
    <t xml:space="preserve">Their Monday dashboard used to be a 40-tab spreadsheet. Now it is one Slack message at 7 AM.</t>
  </si>
  <si>
    <t xml:space="preserve">Same source data, one pipeline, one delivery channel. The ops lead told us the real win was not the time saved - it was that nobody asks 'what is the status' before 9 AM anymore. That question was costing more than the report.</t>
  </si>
  <si>
    <t xml:space="preserve">Comment 'TEMPLATE' and I will DM the reporting pipeline.</t>
  </si>
  <si>
    <t xml:space="preserve">#CustomerStory #RevOps #Automation #OperationsManagement</t>
  </si>
  <si>
    <t xml:space="preserve">Carousel, 5 slides</t>
  </si>
  <si>
    <t xml:space="preserve">From 40 tabs to one Slack message.</t>
  </si>
  <si>
    <t xml:space="preserve">A services team replaced a 40-tab reporting spreadsheet with a single automated message. Slide 3 shows the pipeline, slide 5 shows what they did with the hours they got back.</t>
  </si>
  <si>
    <t xml:space="preserve">Save this if your Monday starts with a spreadsheet.</t>
  </si>
  <si>
    <t xml:space="preserve">#CaseStudy #WorkflowAutomation #OpsManager #Productivity #B2BSaaS #RevOps #WorkSmarter</t>
  </si>
  <si>
    <t xml:space="preserve">Feature drop + carousel</t>
  </si>
  <si>
    <t xml:space="preserve">Three workflows every ops team should stop building by hand this quarter.</t>
  </si>
  <si>
    <t xml:space="preserve">1. New-hire onboarding checklist routing. 2. Invoice approval above a threshold. 3. Weekly status roll-up across teams. Each one is a 20-minute build and each one removes a recurring 2-4 hour manual task. Templates are in the carousel.</t>
  </si>
  <si>
    <t xml:space="preserve">Comment 'TEMPLATE' for all three, ready to import.</t>
  </si>
  <si>
    <t xml:space="preserve">#NoCode #WorkflowAutomation #OpsLeader #B2BSaaS</t>
  </si>
  <si>
    <t xml:space="preserve">Reel, 30s list video</t>
  </si>
  <si>
    <t xml:space="preserve">3 workflows to stop doing by hand this quarter.</t>
  </si>
  <si>
    <t xml:space="preserve">Onboarding checklists, invoice approvals, weekly roll-ups. Every one of these is a recurring 2-4 hour task that does not need a human in the middle. Build once, stop thinking about it.</t>
  </si>
  <si>
    <t xml:space="preserve">Save this list and pick one for next week.</t>
  </si>
  <si>
    <t xml:space="preserve">#AutomationTips #WorkflowAutomation #OpsLife #NoCode #B2BSaaS #Productivity #TechTeams</t>
  </si>
  <si>
    <t xml:space="preserve">Single image, comment prompt</t>
  </si>
  <si>
    <t xml:space="preserve">Drop your most annoying manual task below. I will map it in the replies.</t>
  </si>
  <si>
    <t xml:space="preserve">I will reply to every single one with a two-step fix - no pitch, no form. Last time we did this we mapped 34 tasks and 11 of them were the same task in different words. That is the pattern worth seeing.</t>
  </si>
  <si>
    <t xml:space="preserve">Comment your task. I answer all of them by Sunday.</t>
  </si>
  <si>
    <t xml:space="preserve">#OpsLife #WorkflowAutomation #AskMeAnything #B2BSaaS #Productivity #TechTeams</t>
  </si>
  <si>
    <t xml:space="preserve">Answering the task maps from yesterday's comments.</t>
  </si>
  <si>
    <t xml:space="preserve">Story 1: three of the task maps as screenshots. Story 2: poll - which should we turn into a full teardown. Story 3: repost the best community reply. Then a 20-minute comment sprint.</t>
  </si>
  <si>
    <t xml:space="preserve">Reply to every comment within 2 hours.</t>
  </si>
  <si>
    <t xml:space="preserve">Week 2 review + Week 3 batch.</t>
  </si>
  <si>
    <t xml:space="preserve">Check which pillar produced the most saves and the most profile visits - they are rarely the same. Double down on the winner for Week 4. Confirm all customer approvals before anything ships.</t>
  </si>
  <si>
    <t xml:space="preserve">Ship Week 3 by Monday 8 AM.</t>
  </si>
  <si>
    <t xml:space="preserve">W3</t>
  </si>
  <si>
    <t xml:space="preserve">Text + template image</t>
  </si>
  <si>
    <t xml:space="preserve">How to write an SOP your team will actually follow.</t>
  </si>
  <si>
    <t xml:space="preserve">Six lines, no paragraphs: trigger, owner, input, decision rule, output, escalation. If your SOP needs a table of contents, it will not be read. Screenshot the template and rewrite your worst SOP with it this week.</t>
  </si>
  <si>
    <t xml:space="preserve">Want the fillable version? Comment 'SOP'.</t>
  </si>
  <si>
    <t xml:space="preserve">#ProcessImprovement #OperationsManagement #OpsLeader #B2BSaaS</t>
  </si>
  <si>
    <t xml:space="preserve">The 6-line SOP template nobody taught you.</t>
  </si>
  <si>
    <t xml:space="preserve">Trigger, owner, input, decision rule, output, escalation. That is the whole document. Swipe for a filled-in example and the three phrases that make an SOP useless.</t>
  </si>
  <si>
    <t xml:space="preserve">Save this and rewrite one SOP today.</t>
  </si>
  <si>
    <t xml:space="preserve">#ProcessImprovement #OpsManager #WorkflowAutomation #OpsLife #B2BSaaS #AutomationTips</t>
  </si>
  <si>
    <t xml:space="preserve">AI did not fix your process. It made your bad process faster.</t>
  </si>
  <si>
    <t xml:space="preserve">If the inputs are messy and the approval rules are unclear, a model will confidently produce the wrong answer at scale. Automate the boring, deterministic parts first. Save the judgement calls for humans and the models will have something clean to work with.</t>
  </si>
  <si>
    <t xml:space="preserve">Where has AI made a process worse for you? Genuinely curious.</t>
  </si>
  <si>
    <t xml:space="preserve">#AI #WorkflowAutomation #RevOps #B2BSaaS #ProcessImprovement</t>
  </si>
  <si>
    <t xml:space="preserve">Automating a broken process just breaks it faster.</t>
  </si>
  <si>
    <t xml:space="preserve">The order matters: clean the process, document the rules, then automate. Skip step one and you are paying for speed you cannot use. Three signs your process is not ready - the second one is the most common.</t>
  </si>
  <si>
    <t xml:space="preserve">Follow for the teardown on Friday.</t>
  </si>
  <si>
    <t xml:space="preserve">#AI #WorkflowAutomation #OpsLife #Productivity #B2BSaaS #AutomationTips</t>
  </si>
  <si>
    <t xml:space="preserve">Document carousel, 5 pages</t>
  </si>
  <si>
    <t xml:space="preserve">Approval time went from 4 days to 6 hours. The only change was where the approval lived.</t>
  </si>
  <si>
    <t xml:space="preserve">It moved out of email and into the workflow where the request already existed. No new policy, no new headcount, no training deck. Page 3 shows the before/after routing. Most approval delays are not decisions, they are search problems.</t>
  </si>
  <si>
    <t xml:space="preserve">Comment 'ROUTING' and I will send the diagram.</t>
  </si>
  <si>
    <t xml:space="preserve">#CustomerStory #RevOps #WorkflowAutomation #OperationsManagement</t>
  </si>
  <si>
    <t xml:space="preserve">4 days -&gt; 6 hours. Same approvers. Same rules.</t>
  </si>
  <si>
    <t xml:space="preserve">Nothing about the decision changed. Only where the decision lived. Swipe for the routing map and the one setting that did most of the work.</t>
  </si>
  <si>
    <t xml:space="preserve">Save this for your next approval bottleneck.</t>
  </si>
  <si>
    <t xml:space="preserve">#CaseStudy #WorkflowAutomation #OpsManager #ProcessImprovement #B2BSaaS #RevOps #Productivity</t>
  </si>
  <si>
    <t xml:space="preserve">Feature drop + 40s demo</t>
  </si>
  <si>
    <t xml:space="preserve">New this week: conditional logic in approvals.</t>
  </si>
  <si>
    <t xml:space="preserve">Route by amount, team, region or any field you already collect. Above 5 lakh rupees goes to finance plus a director; below it, one approver. No more 'who signs off on this' threads. Built for the requests that keep slipping through.</t>
  </si>
  <si>
    <t xml:space="preserve">See it in the demo - link in the first comment.</t>
  </si>
  <si>
    <t xml:space="preserve">#ProductUpdate #NoCode #WorkflowAutomation #B2BSaaS</t>
  </si>
  <si>
    <t xml:space="preserve">Reel, 20s demo</t>
  </si>
  <si>
    <t xml:space="preserve">One rule. Every request routed correctly.</t>
  </si>
  <si>
    <t xml:space="preserve">Set the threshold once and every request routes itself. This is the feature our ops customers asked for most - because approval chains break at the edges, not in the middle.</t>
  </si>
  <si>
    <t xml:space="preserve">Follow for the next feature drop.</t>
  </si>
  <si>
    <t xml:space="preserve">#NoCode #AutomationTips #WorkflowAutomation #OpsLife #B2BSaaS #TechTeams</t>
  </si>
  <si>
    <t xml:space="preserve">Carousel game, 4 slides</t>
  </si>
  <si>
    <t xml:space="preserve">Two truths and a lie about workflow automation.</t>
  </si>
  <si>
    <t xml:space="preserve">Slide 1 has three claims. Slide 4 has the answer. Most people get it wrong because the lie is the one that sounds most reasonable. Tell me your guess before you swipe.</t>
  </si>
  <si>
    <t xml:space="preserve">Comment your guess - 1, 2 or 3.</t>
  </si>
  <si>
    <t xml:space="preserve">#OpsLife #WorkflowAutomation #SaaSCommunity #B2BSaaS #Productivity #TechTeams</t>
  </si>
  <si>
    <t xml:space="preserve">Behind the scenes: how we build a carousel in 40 minutes.</t>
  </si>
  <si>
    <t xml:space="preserve">Story 1: the outline. Story 2: the design pass. Story 3: the checklist we use before publishing. Then a comment sprint on 15 posts from people who engaged this week.</t>
  </si>
  <si>
    <t xml:space="preserve">Reply to every story reaction.</t>
  </si>
  <si>
    <t xml:space="preserve">Week 3 review + Week 4 batch.</t>
  </si>
  <si>
    <t xml:space="preserve">Rank every post by saves per reach, not by likes. Kill the two formats that underperformed twice. Pre-write the Week 4 captions so the last week is publishing only.</t>
  </si>
  <si>
    <t xml:space="preserve">Ship Week 4 by Monday 8 AM.</t>
  </si>
  <si>
    <t xml:space="preserve">W4</t>
  </si>
  <si>
    <t xml:space="preserve">Text + agenda template</t>
  </si>
  <si>
    <t xml:space="preserve">The 30-minute weekly ops review agenda that replaced our 90-minute one.</t>
  </si>
  <si>
    <t xml:space="preserve">1. Numbers against plan, five minutes. 2. One blocked handoff, ten minutes. 3. One decision, ten minutes. 4. Owner and date for each action, five minutes. No status round-robin - the dashboard already did that.</t>
  </si>
  <si>
    <t xml:space="preserve">What would you cut from your current agenda?</t>
  </si>
  <si>
    <t xml:space="preserve">#OperationsManagement #OpsLeader #ProcessImprovement #B2BSaaS</t>
  </si>
  <si>
    <t xml:space="preserve">Our 30-minute weekly ops review, slide by slide.</t>
  </si>
  <si>
    <t xml:space="preserve">Four agenda items, one owner each, zero status updates. Swipe for the exact agenda, the three things we banned from the meeting, and how we keep it to 30 minutes.</t>
  </si>
  <si>
    <t xml:space="preserve">Save this and try it next Monday.</t>
  </si>
  <si>
    <t xml:space="preserve">#OpsManager #ProcessImprovement #Productivity #OpsLife #B2BSaaS #WorkSmarter</t>
  </si>
  <si>
    <t xml:space="preserve">Nobody wants a dashboard. They want to stop being asked 'what is the status?'.</t>
  </si>
  <si>
    <t xml:space="preserve">Dashboards answer a question you already had. What people actually want is fewer interruptions and a system that tells them when something is off. Build for the notification, not the chart. If your dashboard needs a weekly meeting to be read, it is not working.</t>
  </si>
  <si>
    <t xml:space="preserve">How many times were you asked for a status update today?</t>
  </si>
  <si>
    <t xml:space="preserve">#RevOps #OpsLeader #WorkflowAutomation #B2BSaaS #Productivity</t>
  </si>
  <si>
    <t xml:space="preserve">'What is the status?' is a design failure, not a question.</t>
  </si>
  <si>
    <t xml:space="preserve">Every status question is a signal that information is trapped somewhere a person cannot see. Three ways to kill the question permanently - the third one takes ten minutes to set up.</t>
  </si>
  <si>
    <t xml:space="preserve">Send this to whoever pings you for updates.</t>
  </si>
  <si>
    <t xml:space="preserve">#OpsLife #Productivity #WorkflowAutomation #RevOps #B2BSaaS #TechTeams</t>
  </si>
  <si>
    <t xml:space="preserve">Text + before/after table</t>
  </si>
  <si>
    <t xml:space="preserve">Six months after replacing five tools with one, here is what actually changed.</t>
  </si>
  <si>
    <t xml:space="preserve">Cycle time down, handoffs down, and - the part nobody predicts - onboarding a new hire went from three weeks to four days because the process is now visible in one place. The tool count was never the goal. The visibility was.</t>
  </si>
  <si>
    <t xml:space="preserve">Comment 'AUDIT' and I will send the tool-consolidation checklist.</t>
  </si>
  <si>
    <t xml:space="preserve">#CustomerStory #RevOps #ToolSprawl #B2BSaaS #OperationsManagement</t>
  </si>
  <si>
    <t xml:space="preserve">5 tools -&gt; 1. Here is what actually changed.</t>
  </si>
  <si>
    <t xml:space="preserve">The unexpected win was onboarding: three weeks down to four days, because the process finally lived in one visible place. Swipe for the before/after table and the order we removed tools in.</t>
  </si>
  <si>
    <t xml:space="preserve">Save this if your team runs on too many tabs.</t>
  </si>
  <si>
    <t xml:space="preserve">#CaseStudy #WorkflowAutomation #OpsManager #B2BSaaS #Productivity #BusinessGrowth</t>
  </si>
  <si>
    <t xml:space="preserve">Text + first-3-workflows checklist</t>
  </si>
  <si>
    <t xml:space="preserve">Your first three workflows, in this order.</t>
  </si>
  <si>
    <t xml:space="preserve">Start with the one that annoys the most people daily, not the one with the biggest saving. Momentum matters more than ROI in month one. Second: something with a clear owner. Third: something that touches two teams - that is where the compounding starts.</t>
  </si>
  <si>
    <t xml:space="preserve">Which one are you building first? Tell me below.</t>
  </si>
  <si>
    <t xml:space="preserve">#WorkflowAutomation #NoCode #OpsLeader #B2BSaaS</t>
  </si>
  <si>
    <t xml:space="preserve">Reel, 30s screen recording</t>
  </si>
  <si>
    <t xml:space="preserve">Build your first workflow in 3 steps. No code.</t>
  </si>
  <si>
    <t xml:space="preserve">Pick the trigger, pick the action, set the owner. That is the whole build. Start with something that annoys your team daily - momentum beats optimisation in month one.</t>
  </si>
  <si>
    <t xml:space="preserve">Follow and build one this week.</t>
  </si>
  <si>
    <t xml:space="preserve">#NoCode #WorkflowAutomation #AutomationTips #OpsLife #B2BSaaS #TechTeams</t>
  </si>
  <si>
    <t xml:space="preserve">Single image, fill-in-the-blank</t>
  </si>
  <si>
    <t xml:space="preserve">Fill in the blank: the last time I copy-pasted between two tools was ___.</t>
  </si>
  <si>
    <t xml:space="preserve">Mine was Tuesday, 4:12 PM, between a CRM and a spreadsheet. I will go first in the comments. No shame here - the point is to see how often it happens, because that number is your automation budget.</t>
  </si>
  <si>
    <t xml:space="preserve">Complete the sentence in the comments.</t>
  </si>
  <si>
    <t xml:space="preserve">#OpsLife #WorkflowAutomation #SaaSCommunity #Productivity #B2BSaaS #WorkSmarter</t>
  </si>
  <si>
    <t xml:space="preserve">Best comments of the month, screenshotted.</t>
  </si>
  <si>
    <t xml:space="preserve">Story 1: three community answers that were better than ours. Story 2: poll - what should December's theme be. Story 3: teaser for Monday's recap. Then a comment sprint.</t>
  </si>
  <si>
    <t xml:space="preserve">Vote in the poll - it sets next month's plan.</t>
  </si>
  <si>
    <t xml:space="preserve">Month-end review + December plan.</t>
  </si>
  <si>
    <t xml:space="preserve">Compile the monthly scorecard: follower delta, reach, saves, profile visits, DMs. Identify the top three posts by follower conversion. Write December's first two weeks before the month turns.</t>
  </si>
  <si>
    <t xml:space="preserve">Publish the scorecard internally by Tuesday.</t>
  </si>
  <si>
    <t xml:space="preserve">W5</t>
  </si>
  <si>
    <t xml:space="preserve">Text + link roundup</t>
  </si>
  <si>
    <t xml:space="preserve">The five posts from this month that ops leaders saved the most.</t>
  </si>
  <si>
    <t xml:space="preserve">Ranked by saves, not likes: the handoff map, the six-line SOP, the 30-minute review agenda, the approval routing teardown, and the tool-consolidation checklist. All five in one place, no email required.</t>
  </si>
  <si>
    <t xml:space="preserve">Save this post - it is the index for the whole month.</t>
  </si>
  <si>
    <t xml:space="preserve">#OperationsManagement #RevOps #ProcessImprovement #B2BSaaS</t>
  </si>
  <si>
    <t xml:space="preserve">Carousel, 8 slides, recap</t>
  </si>
  <si>
    <t xml:space="preserve">The 5 posts you saved most this month.</t>
  </si>
  <si>
    <t xml:space="preserve">Everything in one carousel so you can save it once instead of five times. Slides 2 to 6 are the fixes; slide 8 is the checklist that ties them together.</t>
  </si>
  <si>
    <t xml:space="preserve">Save this one and share it with your team.</t>
  </si>
  <si>
    <t xml:space="preserve">#WorkflowAutomation #OpsManager #AutomationTips #Productivity #OpsLife #B2BSaaS #ProcessImprovement</t>
  </si>
  <si>
    <t xml:space="preserve">One month of posting daily taught me something about ops teams.</t>
  </si>
  <si>
    <t xml:space="preserve">The posts about deleting steps outperformed the posts about adding tools, every single week. People are not looking for more capability - they are looking for permission to simplify. That is what December's content will be about.</t>
  </si>
  <si>
    <t xml:space="preserve">Follow if you want the simplification series.</t>
  </si>
  <si>
    <t xml:space="preserve">#RevOps #OpsLeader #B2BSaaS #ProcessImprovement #WorkflowAutomation</t>
  </si>
  <si>
    <t xml:space="preserve">One month, 22 posts, one lesson: people want permission to simplify.</t>
  </si>
  <si>
    <t xml:space="preserve">The delete-a-step posts beat the add-a-tool posts every week. So December is about subtraction. Follow along if your team is running too many tools and too few decisions.</t>
  </si>
  <si>
    <t xml:space="preserve">Follow for the December series.</t>
  </si>
  <si>
    <t xml:space="preserve">#OpsLife #WorkflowAutomation #Productivity #B2BSaaS #SaaSCommunity #TechTeams</t>
  </si>
  <si>
    <t xml:space="preserve">Flowline - 30-Day Social Media Content Strategy</t>
  </si>
  <si>
    <t xml:space="preserve">November 2026 calendar  |  Goal: follower growth and reach  |  Prepared 29 October 2026</t>
  </si>
  <si>
    <t xml:space="preserve">Brand</t>
  </si>
  <si>
    <t xml:space="preserve">Flowline - AI workflow automation for operations teams (B2B SaaS, 50-500 person companies)</t>
  </si>
  <si>
    <t xml:space="preserve">Platforms</t>
  </si>
  <si>
    <t xml:space="preserve">LinkedIn (page + founder profile) and Instagram (business account)</t>
  </si>
  <si>
    <t xml:space="preserve">Campaign window</t>
  </si>
  <si>
    <t xml:space="preserve">2 November - 1 December 2026  -  Day 1 is Monday 2 November 2026</t>
  </si>
  <si>
    <t xml:space="preserve">Primary goal</t>
  </si>
  <si>
    <t xml:space="preserve">Follower growth and reach</t>
  </si>
  <si>
    <t xml:space="preserve">Secondary goals</t>
  </si>
  <si>
    <t xml:space="preserve">Profile visits, saves and shares, inbound DMs</t>
  </si>
  <si>
    <t xml:space="preserve">Audience</t>
  </si>
  <si>
    <t xml:space="preserve">Ops and RevOps leads at 50-500 person B2B companies, plus founders of 20-50 person companies</t>
  </si>
  <si>
    <t xml:space="preserve">Positioning line</t>
  </si>
  <si>
    <t xml:space="preserve">"Flowline removes the handoffs, not the people."</t>
  </si>
  <si>
    <t xml:space="preserve">PLAN AT A GLANCE</t>
  </si>
  <si>
    <t xml:space="preserve">Total rows in the calendar</t>
  </si>
  <si>
    <t xml:space="preserve">LinkedIn posts</t>
  </si>
  <si>
    <t xml:space="preserve">Instagram posts</t>
  </si>
  <si>
    <t xml:space="preserve">Weekend story / engagement blocks</t>
  </si>
  <si>
    <t xml:space="preserve">Posts marked Published</t>
  </si>
  <si>
    <t xml:space="preserve">Posts still Not started</t>
  </si>
  <si>
    <t xml:space="preserve">CONTENT PILLAR MIX (live from the Calendar sheet)</t>
  </si>
  <si>
    <t xml:space="preserve">Feed posts</t>
  </si>
  <si>
    <t xml:space="preserve">Share of feed posts</t>
  </si>
  <si>
    <t xml:space="preserve">Target share</t>
  </si>
  <si>
    <t xml:space="preserve">Total</t>
  </si>
  <si>
    <t xml:space="preserve">HOW TO USE THIS WORKBOOK</t>
  </si>
  <si>
    <t xml:space="preserve">-  Calendar - every post for all 30 days: platform, pillar, format, hook, caption, CTA, hashtag set and scheduled time.</t>
  </si>
  <si>
    <t xml:space="preserve">-  Pillars - what each pillar is for, its target share, formats and example topics.</t>
  </si>
  <si>
    <t xml:space="preserve">-  Hooks and CTAs - the reusable formulas every caption in the calendar is built from.</t>
  </si>
  <si>
    <t xml:space="preserve">-  Hashtags - the five clusters and the rotation rules (Instagram 8-12 in the first comment, LinkedIn 3-5 at the end).</t>
  </si>
  <si>
    <t xml:space="preserve">-  Posting Times - the day-by-day IST windows for both platforms and how to validate them in week one.</t>
  </si>
  <si>
    <t xml:space="preserve">-  Tracker - the monthly scorecard: enter your October baseline, set targets, log actuals; variance and status calculate.</t>
  </si>
  <si>
    <t xml:space="preserve">-  Yellow cells are the only cells you should type in: Status and Notes on the Calendar, Baseline and Actual on the Tracker.</t>
  </si>
  <si>
    <t xml:space="preserve">Content pillars</t>
  </si>
  <si>
    <t xml:space="preserve">Five pillars, one per weekday. The split is deliberately flat so no single pillar dominates the feed.</t>
  </si>
  <si>
    <t xml:space="preserve">What it does</t>
  </si>
  <si>
    <t xml:space="preserve">Formats</t>
  </si>
  <si>
    <t xml:space="preserve">Example topics</t>
  </si>
  <si>
    <t xml:space="preserve">1. Educate (how-to)</t>
  </si>
  <si>
    <t xml:space="preserve">25%</t>
  </si>
  <si>
    <t xml:space="preserve">Earns saves and shares - the strongest reach signal on both platforms</t>
  </si>
  <si>
    <t xml:space="preserve">Instagram carousel, LinkedIn text + diagram, explainer reel</t>
  </si>
  <si>
    <t xml:space="preserve">Ops audits, SOP templates, handoff mapping, weekly review agendas</t>
  </si>
  <si>
    <t xml:space="preserve">2. Insight and point of view</t>
  </si>
  <si>
    <t xml:space="preserve">Builds authority and pulls comments from senior buyers</t>
  </si>
  <si>
    <t xml:space="preserve">LinkedIn text-only post, talking-head reel, quote card</t>
  </si>
  <si>
    <t xml:space="preserve">Contrarian takes on tool sprawl, AI hype, hiring vs automating</t>
  </si>
  <si>
    <t xml:space="preserve">3. Proof (customers and numbers)</t>
  </si>
  <si>
    <t xml:space="preserve">20%</t>
  </si>
  <si>
    <t xml:space="preserve">Converts lurkers into followers - real outcomes travel furthest</t>
  </si>
  <si>
    <t xml:space="preserve">LinkedIn document carousel, Instagram case-study carousel, testimonial</t>
  </si>
  <si>
    <t xml:space="preserve">Before/after hours saved, approval time cut, tool consolidation</t>
  </si>
  <si>
    <t xml:space="preserve">4. Product in action</t>
  </si>
  <si>
    <t xml:space="preserve">Shows the product without pitching - screen recordings beat feature lists</t>
  </si>
  <si>
    <t xml:space="preserve">Screen-record reel, feature drop, build-along demo</t>
  </si>
  <si>
    <t xml:space="preserve">Approval chains, conditional logic, first 3 workflows to build</t>
  </si>
  <si>
    <t xml:space="preserve">5. Community and engagement</t>
  </si>
  <si>
    <t xml:space="preserve">10%</t>
  </si>
  <si>
    <t xml:space="preserve">Feeds the algorithm with comments and gives the audience a voice</t>
  </si>
  <si>
    <t xml:space="preserve">Poll, fill-in-the-blank, AMA prompt, story stickers</t>
  </si>
  <si>
    <t xml:space="preserve">Manual-task confessions, two truths and a lie, tab-count polls</t>
  </si>
  <si>
    <t xml:space="preserve">Pillar rules</t>
  </si>
  <si>
    <t xml:space="preserve">-  One pillar per post. A post that educates and sells at the same time does neither.</t>
  </si>
  <si>
    <t xml:space="preserve">-  Rotate formats inside a pillar so the feed never looks repetitive.</t>
  </si>
  <si>
    <t xml:space="preserve">-  Proof before product: customer stories land Wednesday, product posts Thursday.</t>
  </si>
  <si>
    <t xml:space="preserve">-  Community posts carry no links and no ask beyond a comment - they exist to generate reply volume.</t>
  </si>
  <si>
    <t xml:space="preserve">Hook and CTA library</t>
  </si>
  <si>
    <t xml:space="preserve">Every caption in the calendar is a variation on one of these. Add new rows as the library grows.</t>
  </si>
  <si>
    <t xml:space="preserve">Hook formula</t>
  </si>
  <si>
    <t xml:space="preserve">Pattern</t>
  </si>
  <si>
    <t xml:space="preserve">Worked example</t>
  </si>
  <si>
    <t xml:space="preserve">Contrarian</t>
  </si>
  <si>
    <t xml:space="preserve">Most teams think X. It is usually Y.</t>
  </si>
  <si>
    <t xml:space="preserve">Cost of inaction</t>
  </si>
  <si>
    <t xml:space="preserve">Every [period] you wait costs you [unit].</t>
  </si>
  <si>
    <t xml:space="preserve">Every week of manual reporting costs a mid-market team about 11 hours.</t>
  </si>
  <si>
    <t xml:space="preserve">Before / after</t>
  </si>
  <si>
    <t xml:space="preserve">It used to take X. Now it takes Y. Same team.</t>
  </si>
  <si>
    <t xml:space="preserve">It used to take 6 hours. Now it takes 11 minutes. Same team.</t>
  </si>
  <si>
    <t xml:space="preserve">Numbered promise</t>
  </si>
  <si>
    <t xml:space="preserve">N things that [outcome] - the last one is the one people skip.</t>
  </si>
  <si>
    <t xml:space="preserve">3 things that fix slow approvals - the last one is the one people skip.</t>
  </si>
  <si>
    <t xml:space="preserve">Callout</t>
  </si>
  <si>
    <t xml:space="preserve">If you are still [old behaviour] in 2026, this is for you.</t>
  </si>
  <si>
    <t xml:space="preserve">If your team is still copying data into a spreadsheet every Monday, this is for you.</t>
  </si>
  <si>
    <t xml:space="preserve">Confession</t>
  </si>
  <si>
    <t xml:space="preserve">I got this wrong for two years.</t>
  </si>
  <si>
    <t xml:space="preserve">I got process documentation wrong for two years. Here is what changed.</t>
  </si>
  <si>
    <t xml:space="preserve">POV / scenario</t>
  </si>
  <si>
    <t xml:space="preserve">POV: [relatable painful moment].</t>
  </si>
  <si>
    <t xml:space="preserve">Question hook</t>
  </si>
  <si>
    <t xml:space="preserve">What would you do with [X] hours a week back?</t>
  </si>
  <si>
    <t xml:space="preserve">What would your team do with 11 hours a week back?</t>
  </si>
  <si>
    <t xml:space="preserve">Myth bust</t>
  </si>
  <si>
    <t xml:space="preserve">No, [common belief] is not why [problem].</t>
  </si>
  <si>
    <t xml:space="preserve">No, your team is not slow because they are lazy. It is the handoffs.</t>
  </si>
  <si>
    <t xml:space="preserve">Listicle teaser</t>
  </si>
  <si>
    <t xml:space="preserve">Steal the [template] we use with every new customer.</t>
  </si>
  <si>
    <t xml:space="preserve">Steal the 6-line SOP template we use with every new customer.</t>
  </si>
  <si>
    <t xml:space="preserve">Curiosity gap</t>
  </si>
  <si>
    <t xml:space="preserve">There is one step in this workflow nobody automates. It is the bottleneck.</t>
  </si>
  <si>
    <t xml:space="preserve">There is one step in every approval chain nobody automates. That is the bottleneck.</t>
  </si>
  <si>
    <t xml:space="preserve">Direct address</t>
  </si>
  <si>
    <t xml:space="preserve">[Role], stop doing [task] by hand.</t>
  </si>
  <si>
    <t xml:space="preserve">Ops leads: stop building the same report by hand every week.</t>
  </si>
  <si>
    <t xml:space="preserve">CTA LIBRARY</t>
  </si>
  <si>
    <t xml:space="preserve">Funnel stage</t>
  </si>
  <si>
    <t xml:space="preserve">CTA wording</t>
  </si>
  <si>
    <t xml:space="preserve">Where it is used</t>
  </si>
  <si>
    <t xml:space="preserve">Reach (saves + shares)</t>
  </si>
  <si>
    <t xml:space="preserve">Save this for your next sprint planning.</t>
  </si>
  <si>
    <t xml:space="preserve">Bookmark this and send it to the one person who owns this process.</t>
  </si>
  <si>
    <t xml:space="preserve">Engagement (comments)</t>
  </si>
  <si>
    <t xml:space="preserve">Which one breaks first in your team? Tell me below.</t>
  </si>
  <si>
    <t xml:space="preserve">Drop your most annoying manual task - I will map it in the replies.</t>
  </si>
  <si>
    <t xml:space="preserve">Growth (follows)</t>
  </si>
  <si>
    <t xml:space="preserve">I post one workflow teardown every week - follow if that is useful.</t>
  </si>
  <si>
    <t xml:space="preserve">Lead capture (keyword)</t>
  </si>
  <si>
    <t xml:space="preserve">Comment 'PLAYBOOK' and I will send the workflow map.</t>
  </si>
  <si>
    <t xml:space="preserve">Comment 'TEMPLATE' and I will DM it to you.</t>
  </si>
  <si>
    <t xml:space="preserve">Traffic (link)</t>
  </si>
  <si>
    <t xml:space="preserve">Full walkthrough is in the first comment.</t>
  </si>
  <si>
    <t xml:space="preserve">Link in bio for the 15-minute walkthrough.</t>
  </si>
  <si>
    <t xml:space="preserve">Profile visit</t>
  </si>
  <si>
    <t xml:space="preserve">More teardowns like this are pinned on my profile.</t>
  </si>
  <si>
    <t xml:space="preserve">Everything we publish lives at the link in bio.</t>
  </si>
  <si>
    <t xml:space="preserve">-  One ask per post, at the end. The middle of the caption earns the right to make the ask.</t>
  </si>
  <si>
    <t xml:space="preserve">-  Keyword CTAs only work if the asset is sent within 24 hours - batch the DMs twice a day.</t>
  </si>
  <si>
    <t xml:space="preserve">-  Never ask for a follow in the same post that asks for a comment; save follow asks for reels.</t>
  </si>
  <si>
    <t xml:space="preserve">-  A save CTA needs a reason: "save this for your next sprint planning" beats "save this".</t>
  </si>
  <si>
    <t xml:space="preserve">Hashtag clusters</t>
  </si>
  <si>
    <t xml:space="preserve">Rotate across clusters rather than repeating one set. The branded tag goes on every post.</t>
  </si>
  <si>
    <t xml:space="preserve">Cluster</t>
  </si>
  <si>
    <t xml:space="preserve">Why it is in the mix</t>
  </si>
  <si>
    <t xml:space="preserve">A. Branded (always include 1)</t>
  </si>
  <si>
    <t xml:space="preserve">#Flowline #FlowlineOps #WorkflowWednesday</t>
  </si>
  <si>
    <t xml:space="preserve">Builds a searchable archive of your own content; use 1-2 per post, never more.</t>
  </si>
  <si>
    <t xml:space="preserve">B. Core category (2-3)</t>
  </si>
  <si>
    <t xml:space="preserve">#WorkflowAutomation #NoCode #BusinessAutomation #RevOps #SalesOps #AutomationStrategy</t>
  </si>
  <si>
    <t xml:space="preserve">Where buyers and practitioners actually browse. Highest intent, lowest volume.</t>
  </si>
  <si>
    <t xml:space="preserve">C. Role and topic (2-3)</t>
  </si>
  <si>
    <t xml:space="preserve">#OperationsManagement #ProcessImprovement #DigitalTransformation #B2BSaaS #OpsLeader #TechOps</t>
  </si>
  <si>
    <t xml:space="preserve">Reaches people by job title and problem, not by product category.</t>
  </si>
  <si>
    <t xml:space="preserve">D. Community and engagement (1-2)</t>
  </si>
  <si>
    <t xml:space="preserve">#OpsLife #SaaSCommunity #BuildInPublic #TechTeams #FoundersLife</t>
  </si>
  <si>
    <t xml:space="preserve">Smaller, chattier tags where comments and shares actually happen.</t>
  </si>
  <si>
    <t xml:space="preserve">E. Broad reach (1-2, Instagram only)</t>
  </si>
  <si>
    <t xml:space="preserve">#Productivity #BusinessGrowth #StartupIndia #WorkSmarter #Teamwork</t>
  </si>
  <si>
    <t xml:space="preserve">High volume, low intent. Use for reach only - skip on LinkedIn.</t>
  </si>
  <si>
    <t xml:space="preserve">Rotation rules</t>
  </si>
  <si>
    <t xml:space="preserve">-  Instagram: 8-12 tags in the first comment (clusters A 1-2, B 2-3, C 2-3, D 1-2, E 1-2).</t>
  </si>
  <si>
    <t xml:space="preserve">-  LinkedIn: 3-5 tags at the end of the post, clusters A + B + C only - broad reach tags look spammy there.</t>
  </si>
  <si>
    <t xml:space="preserve">-  Rotate at least 40% of the tags between consecutive posts so the account does not look automated.</t>
  </si>
  <si>
    <t xml:space="preserve">-  Review monthly: drop any tag that has produced no reach for three posts in a row.</t>
  </si>
  <si>
    <t xml:space="preserve">-  The exact set for each post is in the Hashtags column of the Calendar sheet.</t>
  </si>
  <si>
    <t xml:space="preserve">Best posting time map</t>
  </si>
  <si>
    <t xml:space="preserve">All times IST, India-first audience with a smaller Middle East and UK tail.</t>
  </si>
  <si>
    <t xml:space="preserve">LinkedIn window (IST)</t>
  </si>
  <si>
    <t xml:space="preserve">Instagram window (IST)</t>
  </si>
  <si>
    <t xml:space="preserve">Why</t>
  </si>
  <si>
    <t xml:space="preserve">Monday</t>
  </si>
  <si>
    <t xml:space="preserve">9:00-9:30 AM</t>
  </si>
  <si>
    <t xml:space="preserve">12:30-1:00 PM</t>
  </si>
  <si>
    <t xml:space="preserve">Monday morning is inbox-triage time on LinkedIn; Instagram peaks over lunch.</t>
  </si>
  <si>
    <t xml:space="preserve">Tuesday</t>
  </si>
  <si>
    <t xml:space="preserve">8:30-9:30 AM</t>
  </si>
  <si>
    <t xml:space="preserve">7:30-8:30 PM</t>
  </si>
  <si>
    <t xml:space="preserve">Strongest LinkedIn day of the week. Instagram peaks after dinner.</t>
  </si>
  <si>
    <t xml:space="preserve">Wednesday</t>
  </si>
  <si>
    <t xml:space="preserve">9:00-10:00 AM</t>
  </si>
  <si>
    <t xml:space="preserve">Second-best LinkedIn day; keep carousels here for saves.</t>
  </si>
  <si>
    <t xml:space="preserve">Thursday</t>
  </si>
  <si>
    <t xml:space="preserve">Product and demo posts land best before the week closes.</t>
  </si>
  <si>
    <t xml:space="preserve">Friday</t>
  </si>
  <si>
    <t xml:space="preserve">No post</t>
  </si>
  <si>
    <t xml:space="preserve">6:30-7:30 PM</t>
  </si>
  <si>
    <t xml:space="preserve">Lowest B2B attention day - use Instagram only, lighter engagement content.</t>
  </si>
  <si>
    <t xml:space="preserve">Saturday</t>
  </si>
  <si>
    <t xml:space="preserve">11:00-11:30 AM (stories only)</t>
  </si>
  <si>
    <t xml:space="preserve">Stories and polls only. No feed post.</t>
  </si>
  <si>
    <t xml:space="preserve">Sunday</t>
  </si>
  <si>
    <t xml:space="preserve">7:00-8:00 PM (stories only)</t>
  </si>
  <si>
    <t xml:space="preserve">Planning day. Engagement sprint, no publishing.</t>
  </si>
  <si>
    <t xml:space="preserve">Validation notes</t>
  </si>
  <si>
    <t xml:space="preserve">-  If more than 40% of impressions come from North America, shift evening slots to 7:30-9:30 PM IST (10:00 AM-12:00 PM Eastern).</t>
  </si>
  <si>
    <t xml:space="preserve">-  LinkedIn: after 7 days check "when your followers are on LinkedIn"; publish 15 minutes before the peak band starts.</t>
  </si>
  <si>
    <t xml:space="preserve">-  Instagram: use the Insights "most active times" grid and publish 30 minutes before the widest band.</t>
  </si>
  <si>
    <t xml:space="preserve">-  Test one variable at a time - change the time or the format for a weekday, never both.</t>
  </si>
  <si>
    <t xml:space="preserve">-  Reels get a second distribution wave 24-48 hours later; carousels live or die in the first two hours.</t>
  </si>
  <si>
    <t xml:space="preserve">Monthly scorecard</t>
  </si>
  <si>
    <t xml:space="preserve">Enter the October baseline and the actuals each week. Targets, variance and status calculate automatically. Yellow cells are inputs.</t>
  </si>
  <si>
    <t xml:space="preserve">Metric</t>
  </si>
  <si>
    <t xml:space="preserve">Baseline (Oct)</t>
  </si>
  <si>
    <t xml:space="preserve">30-day target</t>
  </si>
  <si>
    <t xml:space="preserve">Actual</t>
  </si>
  <si>
    <t xml:space="preserve">Variance vs target</t>
  </si>
  <si>
    <t xml:space="preserve">Target rule</t>
  </si>
  <si>
    <t xml:space="preserve">Followers</t>
  </si>
  <si>
    <t xml:space="preserve">baseline x 1.20</t>
  </si>
  <si>
    <t xml:space="preserve">baseline x 1.25</t>
  </si>
  <si>
    <t xml:space="preserve">Reach per post</t>
  </si>
  <si>
    <t xml:space="preserve">Both</t>
  </si>
  <si>
    <t xml:space="preserve">baseline x 1.30</t>
  </si>
  <si>
    <t xml:space="preserve">Saves per carousel</t>
  </si>
  <si>
    <t xml:space="preserve">fixed at 40</t>
  </si>
  <si>
    <t xml:space="preserve">Saves and shares per post</t>
  </si>
  <si>
    <t xml:space="preserve">baseline x 1.50</t>
  </si>
  <si>
    <t xml:space="preserve">Profile visits</t>
  </si>
  <si>
    <t xml:space="preserve">baseline x 1.40</t>
  </si>
  <si>
    <t xml:space="preserve">Comment rate (comments / reach)</t>
  </si>
  <si>
    <t xml:space="preserve">fixed at 1.50%</t>
  </si>
  <si>
    <t xml:space="preserve">Inbound DMs and keyword comments</t>
  </si>
  <si>
    <t xml:space="preserve">fixed at 25</t>
  </si>
  <si>
    <t xml:space="preserve">How to use the scorecard</t>
  </si>
  <si>
    <t xml:space="preserve">-  Enter the October averages in Baseline before Day 1 - a target without a starting number is an opinion.</t>
  </si>
  <si>
    <t xml:space="preserve">-  Targets are written as multiples of baseline where the goal is growth, and as absolute numbers where it is a count.</t>
  </si>
  <si>
    <t xml:space="preserve">-  Log actuals every Sunday, then read the Status column: two "Behind" weeks on the same metric means the format or the hook is wrong, not the effort.</t>
  </si>
  <si>
    <t xml:space="preserve">-  Rank posts by saves per reach, not by likes - likes measure politeness, saves measure usefulness.</t>
  </si>
</sst>
</file>

<file path=xl/styles.xml><?xml version="1.0" encoding="utf-8"?>
<styleSheet xmlns="http://schemas.openxmlformats.org/spreadsheetml/2006/main">
  <numFmts count="7">
    <numFmt numFmtId="164" formatCode="General"/>
    <numFmt numFmtId="165" formatCode="dd\ mmm\ yyyy"/>
    <numFmt numFmtId="166" formatCode="General"/>
    <numFmt numFmtId="167" formatCode="0%"/>
    <numFmt numFmtId="168" formatCode="#,##0"/>
    <numFmt numFmtId="169" formatCode="0.0%"/>
    <numFmt numFmtId="170" formatCode="0.00%"/>
  </numFmts>
  <fonts count="16">
    <font>
      <sz val="11"/>
      <color rgb="FF000000"/>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A6473"/>
      <name val="Arial"/>
      <family val="0"/>
      <charset val="1"/>
    </font>
    <font>
      <b val="true"/>
      <sz val="10"/>
      <color rgb="FFFFFFFF"/>
      <name val="Arial"/>
      <family val="0"/>
      <charset val="1"/>
    </font>
    <font>
      <sz val="9"/>
      <color rgb="FF22262E"/>
      <name val="Arial"/>
      <family val="0"/>
      <charset val="1"/>
    </font>
    <font>
      <b val="true"/>
      <sz val="9"/>
      <color rgb="FF22262E"/>
      <name val="Arial"/>
      <family val="0"/>
      <charset val="1"/>
    </font>
    <font>
      <b val="true"/>
      <sz val="10"/>
      <color rgb="FF1F3864"/>
      <name val="Arial"/>
      <family val="0"/>
      <charset val="1"/>
    </font>
    <font>
      <sz val="10"/>
      <color rgb="FF22262E"/>
      <name val="Arial"/>
      <family val="0"/>
      <charset val="1"/>
    </font>
    <font>
      <b val="true"/>
      <sz val="10"/>
      <color rgb="FF2B4C9B"/>
      <name val="Arial"/>
      <family val="0"/>
      <charset val="1"/>
    </font>
    <font>
      <sz val="9"/>
      <color rgb="FF333A45"/>
      <name val="Arial"/>
      <family val="0"/>
      <charset val="1"/>
    </font>
    <font>
      <b val="true"/>
      <sz val="10"/>
      <color rgb="FF22262E"/>
      <name val="Arial"/>
      <family val="0"/>
      <charset val="1"/>
    </font>
    <font>
      <b val="true"/>
      <sz val="11"/>
      <color rgb="FF1F3864"/>
      <name val="Arial"/>
      <family val="0"/>
      <charset val="1"/>
    </font>
    <font>
      <sz val="9"/>
      <color rgb="FF5A6473"/>
      <name val="Arial"/>
      <family val="0"/>
      <charset val="1"/>
    </font>
  </fonts>
  <fills count="10">
    <fill>
      <patternFill patternType="none"/>
    </fill>
    <fill>
      <patternFill patternType="gray125"/>
    </fill>
    <fill>
      <patternFill patternType="solid">
        <fgColor rgb="FF1F3864"/>
        <bgColor rgb="FF333A45"/>
      </patternFill>
    </fill>
    <fill>
      <patternFill patternType="solid">
        <fgColor rgb="FFE8F1FB"/>
        <bgColor rgb="FFE7F5EC"/>
      </patternFill>
    </fill>
    <fill>
      <patternFill patternType="solid">
        <fgColor rgb="FFFFF7CC"/>
        <bgColor rgb="FFFDF1E3"/>
      </patternFill>
    </fill>
    <fill>
      <patternFill patternType="solid">
        <fgColor rgb="FFF2EBF7"/>
        <bgColor rgb="FFF4F4F4"/>
      </patternFill>
    </fill>
    <fill>
      <patternFill patternType="solid">
        <fgColor rgb="FFE7F5EC"/>
        <bgColor rgb="FFE8F1FB"/>
      </patternFill>
    </fill>
    <fill>
      <patternFill patternType="solid">
        <fgColor rgb="FFFDF1E3"/>
        <bgColor rgb="FFF7F5EC"/>
      </patternFill>
    </fill>
    <fill>
      <patternFill patternType="solid">
        <fgColor rgb="FFF4F4F4"/>
        <bgColor rgb="FFF7F5EC"/>
      </patternFill>
    </fill>
    <fill>
      <patternFill patternType="solid">
        <fgColor rgb="FFF7F5EC"/>
        <bgColor rgb="FFF4F4F4"/>
      </patternFill>
    </fill>
  </fills>
  <borders count="2">
    <border diagonalUp="false" diagonalDown="false">
      <left/>
      <right/>
      <top/>
      <bottom/>
      <diagonal/>
    </border>
    <border diagonalUp="false" diagonalDown="false">
      <left style="thin">
        <color rgb="FFD6DEEA"/>
      </left>
      <right style="thin">
        <color rgb="FFD6DEEA"/>
      </right>
      <top style="thin">
        <color rgb="FFD6DEEA"/>
      </top>
      <bottom style="thin">
        <color rgb="FFD6DE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5" fontId="7" fillId="9"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lef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70" fontId="10" fillId="0"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patternFill>
      </fill>
    </dxf>
    <dxf>
      <fill>
        <patternFill patternType="solid">
          <fgColor rgb="FFF7F5EC"/>
        </patternFill>
      </fill>
    </dxf>
    <dxf>
      <fill>
        <patternFill patternType="solid">
          <fgColor rgb="00FFFFFF"/>
        </patternFill>
      </fill>
    </dxf>
    <dxf>
      <fill>
        <patternFill patternType="solid">
          <fgColor rgb="FF22262E"/>
        </patternFill>
      </fill>
    </dxf>
    <dxf>
      <fill>
        <patternFill patternType="solid">
          <fgColor rgb="FFFFFFFF"/>
        </patternFill>
      </fill>
    </dxf>
    <dxf>
      <fill>
        <patternFill patternType="solid">
          <fgColor rgb="FFE7F5EC"/>
        </patternFill>
      </fill>
    </dxf>
    <dxf>
      <fill>
        <patternFill patternType="solid">
          <fgColor rgb="FFE8F1FB"/>
        </patternFill>
      </fill>
    </dxf>
    <dxf>
      <fill>
        <patternFill patternType="solid">
          <fgColor rgb="FFF2EBF7"/>
        </patternFill>
      </fill>
    </dxf>
    <dxf>
      <fill>
        <patternFill patternType="solid">
          <fgColor rgb="FFF4F4F4"/>
        </patternFill>
      </fill>
    </dxf>
    <dxf>
      <fill>
        <patternFill patternType="solid">
          <fgColor rgb="FFFDF1E3"/>
        </patternFill>
      </fill>
    </dxf>
    <dxf>
      <fill>
        <patternFill patternType="solid">
          <fgColor rgb="FFFBE4E4"/>
        </patternFill>
      </fill>
    </dxf>
    <dxf>
      <fill>
        <patternFill patternType="solid">
          <fgColor rgb="FF9C2B2B"/>
        </patternFill>
      </fill>
    </dxf>
    <dxf>
      <font>
        <name val="Arial"/>
        <charset val="1"/>
        <family val="0"/>
        <color rgb="FF1E6B32"/>
        <sz val="9"/>
      </font>
      <fill>
        <patternFill>
          <bgColor rgb="FFD6EFD9"/>
        </patternFill>
      </fill>
    </dxf>
    <dxf>
      <font>
        <name val="Arial"/>
        <charset val="1"/>
        <family val="0"/>
        <color rgb="FF2B4C9B"/>
        <sz val="9"/>
      </font>
      <fill>
        <patternFill>
          <bgColor rgb="FFDDE8F7"/>
        </patternFill>
      </fill>
    </dxf>
    <dxf>
      <font>
        <name val="Arial"/>
        <charset val="1"/>
        <family val="0"/>
        <color rgb="FF9C2B2B"/>
        <sz val="9"/>
      </font>
      <fill>
        <patternFill>
          <bgColor rgb="FFFBE4E4"/>
        </patternFill>
      </fill>
    </dxf>
    <dxf>
      <font>
        <name val="Arial"/>
        <charset val="1"/>
        <family val="0"/>
        <color rgb="FF1E6B32"/>
        <sz val="10"/>
      </font>
      <fill>
        <patternFill>
          <bgColor rgb="FFD6EFD9"/>
        </patternFill>
      </fill>
    </dxf>
    <dxf>
      <font>
        <name val="Arial"/>
        <charset val="1"/>
        <family val="0"/>
        <color rgb="FF9C2B2B"/>
        <sz val="10"/>
      </font>
      <fill>
        <patternFill>
          <bgColor rgb="FFFBE4E4"/>
        </patternFill>
      </fill>
    </dxf>
  </dxfs>
  <colors>
    <indexedColors>
      <rgbColor rgb="FF000000"/>
      <rgbColor rgb="FFFFFFFF"/>
      <rgbColor rgb="FFFF0000"/>
      <rgbColor rgb="FF00FF00"/>
      <rgbColor rgb="FF0000FF"/>
      <rgbColor rgb="FFFFFF00"/>
      <rgbColor rgb="FFFF00FF"/>
      <rgbColor rgb="FF00FFFF"/>
      <rgbColor rgb="FF800000"/>
      <rgbColor rgb="FF1E6B32"/>
      <rgbColor rgb="FF000080"/>
      <rgbColor rgb="FF808000"/>
      <rgbColor rgb="FF800080"/>
      <rgbColor rgb="FF008080"/>
      <rgbColor rgb="FFDDE8F7"/>
      <rgbColor rgb="FF808080"/>
      <rgbColor rgb="FF9999FF"/>
      <rgbColor rgb="FF993366"/>
      <rgbColor rgb="FFFFF7CC"/>
      <rgbColor rgb="FFE7F5EC"/>
      <rgbColor rgb="FF660066"/>
      <rgbColor rgb="FFFF8080"/>
      <rgbColor rgb="FF0066CC"/>
      <rgbColor rgb="FFD6DEEA"/>
      <rgbColor rgb="FF000080"/>
      <rgbColor rgb="FFFF00FF"/>
      <rgbColor rgb="FFFFFF00"/>
      <rgbColor rgb="FF00FFFF"/>
      <rgbColor rgb="FF800080"/>
      <rgbColor rgb="FF800000"/>
      <rgbColor rgb="FF008080"/>
      <rgbColor rgb="FF0000FF"/>
      <rgbColor rgb="FF00CCFF"/>
      <rgbColor rgb="FFE8F1FB"/>
      <rgbColor rgb="FFD6EFD9"/>
      <rgbColor rgb="FFFDF1E3"/>
      <rgbColor rgb="FFF2EBF7"/>
      <rgbColor rgb="FFF4F4F4"/>
      <rgbColor rgb="FFF7F5EC"/>
      <rgbColor rgb="FFFBE4E4"/>
      <rgbColor rgb="FF3366FF"/>
      <rgbColor rgb="FF33CCCC"/>
      <rgbColor rgb="FF99CC00"/>
      <rgbColor rgb="FFFFCC00"/>
      <rgbColor rgb="FFFF9900"/>
      <rgbColor rgb="FFFF6600"/>
      <rgbColor rgb="FF5A6473"/>
      <rgbColor rgb="FF969696"/>
      <rgbColor rgb="FF1F3864"/>
      <rgbColor rgb="FF339966"/>
      <rgbColor rgb="FF003300"/>
      <rgbColor rgb="FF22262E"/>
      <rgbColor rgb="FF9C2B2B"/>
      <rgbColor rgb="FF993366"/>
      <rgbColor rgb="FF2B4C9B"/>
      <rgbColor rgb="FF333A45"/>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3"/>
    <col collapsed="false" customWidth="true" hidden="false" outlineLevel="0" max="4" min="4" style="0" width="7"/>
    <col collapsed="false" customWidth="true" hidden="false" outlineLevel="0" max="5" min="5" style="0" width="13"/>
    <col collapsed="false" customWidth="true" hidden="false" outlineLevel="0" max="6" min="6" style="0" width="15"/>
    <col collapsed="false" customWidth="true" hidden="false" outlineLevel="0" max="7" min="7" style="0" width="24"/>
    <col collapsed="false" customWidth="true" hidden="false" outlineLevel="0" max="8" min="8" style="0" width="42"/>
    <col collapsed="false" customWidth="true" hidden="false" outlineLevel="0" max="9" min="9" style="0" width="62"/>
    <col collapsed="false" customWidth="true" hidden="false" outlineLevel="0" max="10" min="10" style="0" width="30"/>
    <col collapsed="false" customWidth="true" hidden="false" outlineLevel="0" max="11" min="11" style="0" width="40"/>
    <col collapsed="false" customWidth="true" hidden="false" outlineLevel="0" max="12" min="12" style="0" width="11"/>
    <col collapsed="false" customWidth="true" hidden="false" outlineLevel="0" max="13" min="13" style="0" width="13"/>
    <col collapsed="false" customWidth="true" hidden="false" outlineLevel="0" max="14" min="14" style="0" width="18"/>
  </cols>
  <sheetData>
    <row r="1" customFormat="false" ht="25.5" hidden="false" customHeight="true" outlineLevel="0" collapsed="false">
      <c r="A1" s="1" t="s">
        <v>0</v>
      </c>
      <c r="B1" s="1"/>
      <c r="C1" s="1"/>
      <c r="D1" s="1"/>
      <c r="E1" s="1"/>
      <c r="F1" s="1"/>
      <c r="G1" s="1"/>
      <c r="H1" s="1"/>
      <c r="I1" s="1"/>
      <c r="J1" s="1"/>
      <c r="K1" s="1"/>
      <c r="L1" s="1"/>
      <c r="M1" s="1"/>
      <c r="N1" s="1"/>
    </row>
    <row r="2" customFormat="false" ht="15.75"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3" t="s">
        <v>3</v>
      </c>
      <c r="C4" s="3" t="s">
        <v>4</v>
      </c>
      <c r="D4" s="3" t="s">
        <v>2</v>
      </c>
      <c r="E4" s="3" t="s">
        <v>5</v>
      </c>
      <c r="F4" s="3" t="s">
        <v>6</v>
      </c>
      <c r="G4" s="3" t="s">
        <v>7</v>
      </c>
      <c r="H4" s="3" t="s">
        <v>8</v>
      </c>
      <c r="I4" s="3" t="s">
        <v>9</v>
      </c>
      <c r="J4" s="3" t="s">
        <v>10</v>
      </c>
      <c r="K4" s="3" t="s">
        <v>11</v>
      </c>
      <c r="L4" s="3" t="s">
        <v>12</v>
      </c>
      <c r="M4" s="3" t="s">
        <v>13</v>
      </c>
      <c r="N4" s="3" t="s">
        <v>14</v>
      </c>
    </row>
    <row r="5" customFormat="false" ht="63.75" hidden="false" customHeight="true" outlineLevel="0" collapsed="false">
      <c r="A5" s="4" t="n">
        <v>1</v>
      </c>
      <c r="B5" s="4" t="s">
        <v>15</v>
      </c>
      <c r="C5" s="5" t="n">
        <v>46328</v>
      </c>
      <c r="D5" s="4" t="s">
        <v>16</v>
      </c>
      <c r="E5" s="6" t="s">
        <v>17</v>
      </c>
      <c r="F5" s="7" t="s">
        <v>18</v>
      </c>
      <c r="G5" s="6" t="s">
        <v>19</v>
      </c>
      <c r="H5" s="8" t="s">
        <v>20</v>
      </c>
      <c r="I5" s="6" t="s">
        <v>21</v>
      </c>
      <c r="J5" s="6" t="s">
        <v>22</v>
      </c>
      <c r="K5" s="6" t="s">
        <v>23</v>
      </c>
      <c r="L5" s="6" t="s">
        <v>24</v>
      </c>
      <c r="M5" s="9" t="s">
        <v>25</v>
      </c>
      <c r="N5" s="9"/>
    </row>
    <row r="6" customFormat="false" ht="51.75" hidden="false" customHeight="true" outlineLevel="0" collapsed="false">
      <c r="A6" s="4"/>
      <c r="B6" s="4" t="s">
        <v>15</v>
      </c>
      <c r="C6" s="5" t="n">
        <v>46328</v>
      </c>
      <c r="D6" s="4" t="s">
        <v>16</v>
      </c>
      <c r="E6" s="6" t="s">
        <v>26</v>
      </c>
      <c r="F6" s="7" t="s">
        <v>18</v>
      </c>
      <c r="G6" s="6" t="s">
        <v>27</v>
      </c>
      <c r="H6" s="8" t="s">
        <v>28</v>
      </c>
      <c r="I6" s="6" t="s">
        <v>29</v>
      </c>
      <c r="J6" s="6" t="s">
        <v>30</v>
      </c>
      <c r="K6" s="6" t="s">
        <v>31</v>
      </c>
      <c r="L6" s="6" t="s">
        <v>32</v>
      </c>
      <c r="M6" s="9" t="s">
        <v>25</v>
      </c>
      <c r="N6" s="9"/>
    </row>
    <row r="7" customFormat="false" ht="63.75" hidden="false" customHeight="true" outlineLevel="0" collapsed="false">
      <c r="A7" s="4" t="n">
        <v>2</v>
      </c>
      <c r="B7" s="4" t="s">
        <v>15</v>
      </c>
      <c r="C7" s="5" t="n">
        <v>46329</v>
      </c>
      <c r="D7" s="4" t="s">
        <v>33</v>
      </c>
      <c r="E7" s="6" t="s">
        <v>17</v>
      </c>
      <c r="F7" s="10" t="s">
        <v>34</v>
      </c>
      <c r="G7" s="6" t="s">
        <v>35</v>
      </c>
      <c r="H7" s="8" t="s">
        <v>36</v>
      </c>
      <c r="I7" s="6" t="s">
        <v>37</v>
      </c>
      <c r="J7" s="6" t="s">
        <v>38</v>
      </c>
      <c r="K7" s="6" t="s">
        <v>39</v>
      </c>
      <c r="L7" s="6" t="s">
        <v>40</v>
      </c>
      <c r="M7" s="9" t="s">
        <v>25</v>
      </c>
      <c r="N7" s="9"/>
    </row>
    <row r="8" customFormat="false" ht="51.75" hidden="false" customHeight="true" outlineLevel="0" collapsed="false">
      <c r="A8" s="4"/>
      <c r="B8" s="4" t="s">
        <v>15</v>
      </c>
      <c r="C8" s="5" t="n">
        <v>46329</v>
      </c>
      <c r="D8" s="4" t="s">
        <v>33</v>
      </c>
      <c r="E8" s="6" t="s">
        <v>26</v>
      </c>
      <c r="F8" s="10" t="s">
        <v>34</v>
      </c>
      <c r="G8" s="6" t="s">
        <v>41</v>
      </c>
      <c r="H8" s="8" t="s">
        <v>42</v>
      </c>
      <c r="I8" s="6" t="s">
        <v>43</v>
      </c>
      <c r="J8" s="6" t="s">
        <v>44</v>
      </c>
      <c r="K8" s="6" t="s">
        <v>45</v>
      </c>
      <c r="L8" s="6" t="s">
        <v>46</v>
      </c>
      <c r="M8" s="9" t="s">
        <v>25</v>
      </c>
      <c r="N8" s="9"/>
    </row>
    <row r="9" customFormat="false" ht="51.75" hidden="false" customHeight="true" outlineLevel="0" collapsed="false">
      <c r="A9" s="4" t="n">
        <v>3</v>
      </c>
      <c r="B9" s="4" t="s">
        <v>15</v>
      </c>
      <c r="C9" s="5" t="n">
        <v>46330</v>
      </c>
      <c r="D9" s="4" t="s">
        <v>47</v>
      </c>
      <c r="E9" s="6" t="s">
        <v>17</v>
      </c>
      <c r="F9" s="11" t="s">
        <v>48</v>
      </c>
      <c r="G9" s="6" t="s">
        <v>49</v>
      </c>
      <c r="H9" s="8" t="s">
        <v>50</v>
      </c>
      <c r="I9" s="6" t="s">
        <v>51</v>
      </c>
      <c r="J9" s="6" t="s">
        <v>52</v>
      </c>
      <c r="K9" s="6" t="s">
        <v>53</v>
      </c>
      <c r="L9" s="6" t="s">
        <v>24</v>
      </c>
      <c r="M9" s="9" t="s">
        <v>25</v>
      </c>
      <c r="N9" s="9"/>
    </row>
    <row r="10" customFormat="false" ht="39.75" hidden="false" customHeight="true" outlineLevel="0" collapsed="false">
      <c r="A10" s="4"/>
      <c r="B10" s="4" t="s">
        <v>15</v>
      </c>
      <c r="C10" s="5" t="n">
        <v>46330</v>
      </c>
      <c r="D10" s="4" t="s">
        <v>47</v>
      </c>
      <c r="E10" s="6" t="s">
        <v>26</v>
      </c>
      <c r="F10" s="11" t="s">
        <v>48</v>
      </c>
      <c r="G10" s="6" t="s">
        <v>54</v>
      </c>
      <c r="H10" s="8" t="s">
        <v>55</v>
      </c>
      <c r="I10" s="6" t="s">
        <v>56</v>
      </c>
      <c r="J10" s="6" t="s">
        <v>57</v>
      </c>
      <c r="K10" s="6" t="s">
        <v>58</v>
      </c>
      <c r="L10" s="6" t="s">
        <v>32</v>
      </c>
      <c r="M10" s="9" t="s">
        <v>25</v>
      </c>
      <c r="N10" s="9"/>
    </row>
    <row r="11" customFormat="false" ht="51.75" hidden="false" customHeight="true" outlineLevel="0" collapsed="false">
      <c r="A11" s="4" t="n">
        <v>4</v>
      </c>
      <c r="B11" s="4" t="s">
        <v>15</v>
      </c>
      <c r="C11" s="5" t="n">
        <v>46331</v>
      </c>
      <c r="D11" s="4" t="s">
        <v>59</v>
      </c>
      <c r="E11" s="6" t="s">
        <v>17</v>
      </c>
      <c r="F11" s="12" t="s">
        <v>60</v>
      </c>
      <c r="G11" s="6" t="s">
        <v>61</v>
      </c>
      <c r="H11" s="8" t="s">
        <v>62</v>
      </c>
      <c r="I11" s="6" t="s">
        <v>63</v>
      </c>
      <c r="J11" s="6" t="s">
        <v>64</v>
      </c>
      <c r="K11" s="6" t="s">
        <v>65</v>
      </c>
      <c r="L11" s="6" t="s">
        <v>40</v>
      </c>
      <c r="M11" s="9" t="s">
        <v>25</v>
      </c>
      <c r="N11" s="9"/>
    </row>
    <row r="12" customFormat="false" ht="39.75" hidden="false" customHeight="true" outlineLevel="0" collapsed="false">
      <c r="A12" s="4"/>
      <c r="B12" s="4" t="s">
        <v>15</v>
      </c>
      <c r="C12" s="5" t="n">
        <v>46331</v>
      </c>
      <c r="D12" s="4" t="s">
        <v>59</v>
      </c>
      <c r="E12" s="6" t="s">
        <v>26</v>
      </c>
      <c r="F12" s="12" t="s">
        <v>60</v>
      </c>
      <c r="G12" s="6" t="s">
        <v>66</v>
      </c>
      <c r="H12" s="8" t="s">
        <v>67</v>
      </c>
      <c r="I12" s="6" t="s">
        <v>68</v>
      </c>
      <c r="J12" s="6" t="s">
        <v>69</v>
      </c>
      <c r="K12" s="6" t="s">
        <v>70</v>
      </c>
      <c r="L12" s="6" t="s">
        <v>46</v>
      </c>
      <c r="M12" s="9" t="s">
        <v>25</v>
      </c>
      <c r="N12" s="9"/>
    </row>
    <row r="13" customFormat="false" ht="39.75" hidden="false" customHeight="true" outlineLevel="0" collapsed="false">
      <c r="A13" s="4" t="n">
        <v>5</v>
      </c>
      <c r="B13" s="4" t="s">
        <v>15</v>
      </c>
      <c r="C13" s="5" t="n">
        <v>46332</v>
      </c>
      <c r="D13" s="4" t="s">
        <v>71</v>
      </c>
      <c r="E13" s="6" t="s">
        <v>26</v>
      </c>
      <c r="F13" s="13" t="s">
        <v>72</v>
      </c>
      <c r="G13" s="6" t="s">
        <v>73</v>
      </c>
      <c r="H13" s="8" t="s">
        <v>74</v>
      </c>
      <c r="I13" s="6" t="s">
        <v>75</v>
      </c>
      <c r="J13" s="6" t="s">
        <v>76</v>
      </c>
      <c r="K13" s="6" t="s">
        <v>77</v>
      </c>
      <c r="L13" s="6" t="s">
        <v>78</v>
      </c>
      <c r="M13" s="9" t="s">
        <v>25</v>
      </c>
      <c r="N13" s="9"/>
    </row>
    <row r="14" customFormat="false" ht="51.75" hidden="false" customHeight="true" outlineLevel="0" collapsed="false">
      <c r="A14" s="14" t="n">
        <v>6</v>
      </c>
      <c r="B14" s="14" t="s">
        <v>15</v>
      </c>
      <c r="C14" s="15" t="n">
        <v>46333</v>
      </c>
      <c r="D14" s="14" t="s">
        <v>79</v>
      </c>
      <c r="E14" s="16" t="s">
        <v>80</v>
      </c>
      <c r="F14" s="16" t="s">
        <v>72</v>
      </c>
      <c r="G14" s="16" t="s">
        <v>81</v>
      </c>
      <c r="H14" s="17" t="s">
        <v>82</v>
      </c>
      <c r="I14" s="16" t="s">
        <v>83</v>
      </c>
      <c r="J14" s="16" t="s">
        <v>84</v>
      </c>
      <c r="K14" s="16" t="s">
        <v>85</v>
      </c>
      <c r="L14" s="16" t="s">
        <v>86</v>
      </c>
      <c r="M14" s="9" t="s">
        <v>25</v>
      </c>
      <c r="N14" s="9"/>
    </row>
    <row r="15" customFormat="false" ht="51.75" hidden="false" customHeight="true" outlineLevel="0" collapsed="false">
      <c r="A15" s="14" t="n">
        <v>7</v>
      </c>
      <c r="B15" s="14" t="s">
        <v>15</v>
      </c>
      <c r="C15" s="15" t="n">
        <v>46334</v>
      </c>
      <c r="D15" s="14" t="s">
        <v>87</v>
      </c>
      <c r="E15" s="16" t="s">
        <v>88</v>
      </c>
      <c r="F15" s="16" t="s">
        <v>72</v>
      </c>
      <c r="G15" s="16" t="s">
        <v>89</v>
      </c>
      <c r="H15" s="17" t="s">
        <v>90</v>
      </c>
      <c r="I15" s="16" t="s">
        <v>91</v>
      </c>
      <c r="J15" s="16" t="s">
        <v>92</v>
      </c>
      <c r="K15" s="16" t="s">
        <v>85</v>
      </c>
      <c r="L15" s="16" t="s">
        <v>93</v>
      </c>
      <c r="M15" s="9" t="s">
        <v>25</v>
      </c>
      <c r="N15" s="9"/>
    </row>
    <row r="16" customFormat="false" ht="51.75" hidden="false" customHeight="true" outlineLevel="0" collapsed="false">
      <c r="A16" s="4" t="n">
        <v>8</v>
      </c>
      <c r="B16" s="4" t="s">
        <v>94</v>
      </c>
      <c r="C16" s="5" t="n">
        <v>46335</v>
      </c>
      <c r="D16" s="4" t="s">
        <v>16</v>
      </c>
      <c r="E16" s="6" t="s">
        <v>17</v>
      </c>
      <c r="F16" s="7" t="s">
        <v>18</v>
      </c>
      <c r="G16" s="6" t="s">
        <v>95</v>
      </c>
      <c r="H16" s="8" t="s">
        <v>96</v>
      </c>
      <c r="I16" s="6" t="s">
        <v>97</v>
      </c>
      <c r="J16" s="6" t="s">
        <v>98</v>
      </c>
      <c r="K16" s="6" t="s">
        <v>99</v>
      </c>
      <c r="L16" s="6" t="s">
        <v>24</v>
      </c>
      <c r="M16" s="9" t="s">
        <v>25</v>
      </c>
      <c r="N16" s="9"/>
    </row>
    <row r="17" customFormat="false" ht="39.75" hidden="false" customHeight="true" outlineLevel="0" collapsed="false">
      <c r="A17" s="4"/>
      <c r="B17" s="4" t="s">
        <v>94</v>
      </c>
      <c r="C17" s="5" t="n">
        <v>46335</v>
      </c>
      <c r="D17" s="4" t="s">
        <v>16</v>
      </c>
      <c r="E17" s="6" t="s">
        <v>26</v>
      </c>
      <c r="F17" s="7" t="s">
        <v>18</v>
      </c>
      <c r="G17" s="6" t="s">
        <v>100</v>
      </c>
      <c r="H17" s="8" t="s">
        <v>101</v>
      </c>
      <c r="I17" s="6" t="s">
        <v>102</v>
      </c>
      <c r="J17" s="6" t="s">
        <v>103</v>
      </c>
      <c r="K17" s="6" t="s">
        <v>104</v>
      </c>
      <c r="L17" s="6" t="s">
        <v>32</v>
      </c>
      <c r="M17" s="9" t="s">
        <v>25</v>
      </c>
      <c r="N17" s="9"/>
    </row>
    <row r="18" customFormat="false" ht="51.75" hidden="false" customHeight="true" outlineLevel="0" collapsed="false">
      <c r="A18" s="4" t="n">
        <v>9</v>
      </c>
      <c r="B18" s="4" t="s">
        <v>94</v>
      </c>
      <c r="C18" s="5" t="n">
        <v>46336</v>
      </c>
      <c r="D18" s="4" t="s">
        <v>33</v>
      </c>
      <c r="E18" s="6" t="s">
        <v>17</v>
      </c>
      <c r="F18" s="10" t="s">
        <v>34</v>
      </c>
      <c r="G18" s="6" t="s">
        <v>35</v>
      </c>
      <c r="H18" s="8" t="s">
        <v>105</v>
      </c>
      <c r="I18" s="6" t="s">
        <v>106</v>
      </c>
      <c r="J18" s="6" t="s">
        <v>107</v>
      </c>
      <c r="K18" s="6" t="s">
        <v>108</v>
      </c>
      <c r="L18" s="6" t="s">
        <v>40</v>
      </c>
      <c r="M18" s="9" t="s">
        <v>25</v>
      </c>
      <c r="N18" s="9"/>
    </row>
    <row r="19" customFormat="false" ht="51.75" hidden="false" customHeight="true" outlineLevel="0" collapsed="false">
      <c r="A19" s="4"/>
      <c r="B19" s="4" t="s">
        <v>94</v>
      </c>
      <c r="C19" s="5" t="n">
        <v>46336</v>
      </c>
      <c r="D19" s="4" t="s">
        <v>33</v>
      </c>
      <c r="E19" s="6" t="s">
        <v>26</v>
      </c>
      <c r="F19" s="10" t="s">
        <v>34</v>
      </c>
      <c r="G19" s="6" t="s">
        <v>109</v>
      </c>
      <c r="H19" s="8" t="s">
        <v>110</v>
      </c>
      <c r="I19" s="6" t="s">
        <v>111</v>
      </c>
      <c r="J19" s="6" t="s">
        <v>112</v>
      </c>
      <c r="K19" s="6" t="s">
        <v>113</v>
      </c>
      <c r="L19" s="6" t="s">
        <v>46</v>
      </c>
      <c r="M19" s="9" t="s">
        <v>25</v>
      </c>
      <c r="N19" s="9"/>
    </row>
    <row r="20" customFormat="false" ht="51.75" hidden="false" customHeight="true" outlineLevel="0" collapsed="false">
      <c r="A20" s="4" t="n">
        <v>10</v>
      </c>
      <c r="B20" s="4" t="s">
        <v>94</v>
      </c>
      <c r="C20" s="5" t="n">
        <v>46337</v>
      </c>
      <c r="D20" s="4" t="s">
        <v>47</v>
      </c>
      <c r="E20" s="6" t="s">
        <v>17</v>
      </c>
      <c r="F20" s="11" t="s">
        <v>48</v>
      </c>
      <c r="G20" s="6" t="s">
        <v>114</v>
      </c>
      <c r="H20" s="8" t="s">
        <v>115</v>
      </c>
      <c r="I20" s="6" t="s">
        <v>116</v>
      </c>
      <c r="J20" s="6" t="s">
        <v>117</v>
      </c>
      <c r="K20" s="6" t="s">
        <v>118</v>
      </c>
      <c r="L20" s="6" t="s">
        <v>24</v>
      </c>
      <c r="M20" s="9" t="s">
        <v>25</v>
      </c>
      <c r="N20" s="9"/>
    </row>
    <row r="21" customFormat="false" ht="39.75" hidden="false" customHeight="true" outlineLevel="0" collapsed="false">
      <c r="A21" s="4"/>
      <c r="B21" s="4" t="s">
        <v>94</v>
      </c>
      <c r="C21" s="5" t="n">
        <v>46337</v>
      </c>
      <c r="D21" s="4" t="s">
        <v>47</v>
      </c>
      <c r="E21" s="6" t="s">
        <v>26</v>
      </c>
      <c r="F21" s="11" t="s">
        <v>48</v>
      </c>
      <c r="G21" s="6" t="s">
        <v>119</v>
      </c>
      <c r="H21" s="8" t="s">
        <v>120</v>
      </c>
      <c r="I21" s="6" t="s">
        <v>121</v>
      </c>
      <c r="J21" s="6" t="s">
        <v>122</v>
      </c>
      <c r="K21" s="6" t="s">
        <v>123</v>
      </c>
      <c r="L21" s="6" t="s">
        <v>32</v>
      </c>
      <c r="M21" s="9" t="s">
        <v>25</v>
      </c>
      <c r="N21" s="9"/>
    </row>
    <row r="22" customFormat="false" ht="51.75" hidden="false" customHeight="true" outlineLevel="0" collapsed="false">
      <c r="A22" s="4" t="n">
        <v>11</v>
      </c>
      <c r="B22" s="4" t="s">
        <v>94</v>
      </c>
      <c r="C22" s="5" t="n">
        <v>46338</v>
      </c>
      <c r="D22" s="4" t="s">
        <v>59</v>
      </c>
      <c r="E22" s="6" t="s">
        <v>17</v>
      </c>
      <c r="F22" s="12" t="s">
        <v>60</v>
      </c>
      <c r="G22" s="6" t="s">
        <v>124</v>
      </c>
      <c r="H22" s="8" t="s">
        <v>125</v>
      </c>
      <c r="I22" s="6" t="s">
        <v>126</v>
      </c>
      <c r="J22" s="6" t="s">
        <v>127</v>
      </c>
      <c r="K22" s="6" t="s">
        <v>128</v>
      </c>
      <c r="L22" s="6" t="s">
        <v>40</v>
      </c>
      <c r="M22" s="9" t="s">
        <v>25</v>
      </c>
      <c r="N22" s="9"/>
    </row>
    <row r="23" customFormat="false" ht="39.75" hidden="false" customHeight="true" outlineLevel="0" collapsed="false">
      <c r="A23" s="4"/>
      <c r="B23" s="4" t="s">
        <v>94</v>
      </c>
      <c r="C23" s="5" t="n">
        <v>46338</v>
      </c>
      <c r="D23" s="4" t="s">
        <v>59</v>
      </c>
      <c r="E23" s="6" t="s">
        <v>26</v>
      </c>
      <c r="F23" s="12" t="s">
        <v>60</v>
      </c>
      <c r="G23" s="6" t="s">
        <v>129</v>
      </c>
      <c r="H23" s="8" t="s">
        <v>130</v>
      </c>
      <c r="I23" s="6" t="s">
        <v>131</v>
      </c>
      <c r="J23" s="6" t="s">
        <v>132</v>
      </c>
      <c r="K23" s="6" t="s">
        <v>133</v>
      </c>
      <c r="L23" s="6" t="s">
        <v>46</v>
      </c>
      <c r="M23" s="9" t="s">
        <v>25</v>
      </c>
      <c r="N23" s="9"/>
    </row>
    <row r="24" customFormat="false" ht="51.75" hidden="false" customHeight="true" outlineLevel="0" collapsed="false">
      <c r="A24" s="4" t="n">
        <v>12</v>
      </c>
      <c r="B24" s="4" t="s">
        <v>94</v>
      </c>
      <c r="C24" s="5" t="n">
        <v>46339</v>
      </c>
      <c r="D24" s="4" t="s">
        <v>71</v>
      </c>
      <c r="E24" s="6" t="s">
        <v>26</v>
      </c>
      <c r="F24" s="13" t="s">
        <v>72</v>
      </c>
      <c r="G24" s="6" t="s">
        <v>134</v>
      </c>
      <c r="H24" s="8" t="s">
        <v>135</v>
      </c>
      <c r="I24" s="6" t="s">
        <v>136</v>
      </c>
      <c r="J24" s="6" t="s">
        <v>137</v>
      </c>
      <c r="K24" s="6" t="s">
        <v>138</v>
      </c>
      <c r="L24" s="6" t="s">
        <v>78</v>
      </c>
      <c r="M24" s="9" t="s">
        <v>25</v>
      </c>
      <c r="N24" s="9"/>
    </row>
    <row r="25" customFormat="false" ht="39.75" hidden="false" customHeight="true" outlineLevel="0" collapsed="false">
      <c r="A25" s="14" t="n">
        <v>13</v>
      </c>
      <c r="B25" s="14" t="s">
        <v>94</v>
      </c>
      <c r="C25" s="15" t="n">
        <v>46340</v>
      </c>
      <c r="D25" s="14" t="s">
        <v>79</v>
      </c>
      <c r="E25" s="16" t="s">
        <v>80</v>
      </c>
      <c r="F25" s="16" t="s">
        <v>72</v>
      </c>
      <c r="G25" s="16" t="s">
        <v>81</v>
      </c>
      <c r="H25" s="17" t="s">
        <v>139</v>
      </c>
      <c r="I25" s="16" t="s">
        <v>140</v>
      </c>
      <c r="J25" s="16" t="s">
        <v>141</v>
      </c>
      <c r="K25" s="16" t="s">
        <v>85</v>
      </c>
      <c r="L25" s="16" t="s">
        <v>86</v>
      </c>
      <c r="M25" s="9" t="s">
        <v>25</v>
      </c>
      <c r="N25" s="9"/>
    </row>
    <row r="26" customFormat="false" ht="39.75" hidden="false" customHeight="true" outlineLevel="0" collapsed="false">
      <c r="A26" s="14" t="n">
        <v>14</v>
      </c>
      <c r="B26" s="14" t="s">
        <v>94</v>
      </c>
      <c r="C26" s="15" t="n">
        <v>46341</v>
      </c>
      <c r="D26" s="14" t="s">
        <v>87</v>
      </c>
      <c r="E26" s="16" t="s">
        <v>88</v>
      </c>
      <c r="F26" s="16" t="s">
        <v>72</v>
      </c>
      <c r="G26" s="16" t="s">
        <v>89</v>
      </c>
      <c r="H26" s="17" t="s">
        <v>142</v>
      </c>
      <c r="I26" s="16" t="s">
        <v>143</v>
      </c>
      <c r="J26" s="16" t="s">
        <v>144</v>
      </c>
      <c r="K26" s="16" t="s">
        <v>85</v>
      </c>
      <c r="L26" s="16" t="s">
        <v>93</v>
      </c>
      <c r="M26" s="9" t="s">
        <v>25</v>
      </c>
      <c r="N26" s="9"/>
    </row>
    <row r="27" customFormat="false" ht="51.75" hidden="false" customHeight="true" outlineLevel="0" collapsed="false">
      <c r="A27" s="4" t="n">
        <v>15</v>
      </c>
      <c r="B27" s="4" t="s">
        <v>145</v>
      </c>
      <c r="C27" s="5" t="n">
        <v>46342</v>
      </c>
      <c r="D27" s="4" t="s">
        <v>16</v>
      </c>
      <c r="E27" s="6" t="s">
        <v>17</v>
      </c>
      <c r="F27" s="7" t="s">
        <v>18</v>
      </c>
      <c r="G27" s="6" t="s">
        <v>146</v>
      </c>
      <c r="H27" s="8" t="s">
        <v>147</v>
      </c>
      <c r="I27" s="6" t="s">
        <v>148</v>
      </c>
      <c r="J27" s="6" t="s">
        <v>149</v>
      </c>
      <c r="K27" s="6" t="s">
        <v>150</v>
      </c>
      <c r="L27" s="6" t="s">
        <v>24</v>
      </c>
      <c r="M27" s="9" t="s">
        <v>25</v>
      </c>
      <c r="N27" s="9"/>
    </row>
    <row r="28" customFormat="false" ht="39.75" hidden="false" customHeight="true" outlineLevel="0" collapsed="false">
      <c r="A28" s="4"/>
      <c r="B28" s="4" t="s">
        <v>145</v>
      </c>
      <c r="C28" s="5" t="n">
        <v>46342</v>
      </c>
      <c r="D28" s="4" t="s">
        <v>16</v>
      </c>
      <c r="E28" s="6" t="s">
        <v>26</v>
      </c>
      <c r="F28" s="7" t="s">
        <v>18</v>
      </c>
      <c r="G28" s="6" t="s">
        <v>54</v>
      </c>
      <c r="H28" s="8" t="s">
        <v>151</v>
      </c>
      <c r="I28" s="6" t="s">
        <v>152</v>
      </c>
      <c r="J28" s="6" t="s">
        <v>153</v>
      </c>
      <c r="K28" s="6" t="s">
        <v>154</v>
      </c>
      <c r="L28" s="6" t="s">
        <v>32</v>
      </c>
      <c r="M28" s="9" t="s">
        <v>25</v>
      </c>
      <c r="N28" s="9"/>
    </row>
    <row r="29" customFormat="false" ht="51.75" hidden="false" customHeight="true" outlineLevel="0" collapsed="false">
      <c r="A29" s="4" t="n">
        <v>16</v>
      </c>
      <c r="B29" s="4" t="s">
        <v>145</v>
      </c>
      <c r="C29" s="5" t="n">
        <v>46343</v>
      </c>
      <c r="D29" s="4" t="s">
        <v>33</v>
      </c>
      <c r="E29" s="6" t="s">
        <v>17</v>
      </c>
      <c r="F29" s="10" t="s">
        <v>34</v>
      </c>
      <c r="G29" s="6" t="s">
        <v>35</v>
      </c>
      <c r="H29" s="8" t="s">
        <v>155</v>
      </c>
      <c r="I29" s="6" t="s">
        <v>156</v>
      </c>
      <c r="J29" s="6" t="s">
        <v>157</v>
      </c>
      <c r="K29" s="6" t="s">
        <v>158</v>
      </c>
      <c r="L29" s="6" t="s">
        <v>40</v>
      </c>
      <c r="M29" s="9" t="s">
        <v>25</v>
      </c>
      <c r="N29" s="9"/>
    </row>
    <row r="30" customFormat="false" ht="51.75" hidden="false" customHeight="true" outlineLevel="0" collapsed="false">
      <c r="A30" s="4"/>
      <c r="B30" s="4" t="s">
        <v>145</v>
      </c>
      <c r="C30" s="5" t="n">
        <v>46343</v>
      </c>
      <c r="D30" s="4" t="s">
        <v>33</v>
      </c>
      <c r="E30" s="6" t="s">
        <v>26</v>
      </c>
      <c r="F30" s="10" t="s">
        <v>34</v>
      </c>
      <c r="G30" s="6" t="s">
        <v>41</v>
      </c>
      <c r="H30" s="8" t="s">
        <v>159</v>
      </c>
      <c r="I30" s="6" t="s">
        <v>160</v>
      </c>
      <c r="J30" s="6" t="s">
        <v>161</v>
      </c>
      <c r="K30" s="6" t="s">
        <v>162</v>
      </c>
      <c r="L30" s="6" t="s">
        <v>46</v>
      </c>
      <c r="M30" s="9" t="s">
        <v>25</v>
      </c>
      <c r="N30" s="9"/>
    </row>
    <row r="31" customFormat="false" ht="51.75" hidden="false" customHeight="true" outlineLevel="0" collapsed="false">
      <c r="A31" s="4" t="n">
        <v>17</v>
      </c>
      <c r="B31" s="4" t="s">
        <v>145</v>
      </c>
      <c r="C31" s="5" t="n">
        <v>46344</v>
      </c>
      <c r="D31" s="4" t="s">
        <v>47</v>
      </c>
      <c r="E31" s="6" t="s">
        <v>17</v>
      </c>
      <c r="F31" s="11" t="s">
        <v>48</v>
      </c>
      <c r="G31" s="6" t="s">
        <v>163</v>
      </c>
      <c r="H31" s="8" t="s">
        <v>164</v>
      </c>
      <c r="I31" s="6" t="s">
        <v>165</v>
      </c>
      <c r="J31" s="6" t="s">
        <v>166</v>
      </c>
      <c r="K31" s="6" t="s">
        <v>167</v>
      </c>
      <c r="L31" s="6" t="s">
        <v>24</v>
      </c>
      <c r="M31" s="9" t="s">
        <v>25</v>
      </c>
      <c r="N31" s="9"/>
    </row>
    <row r="32" customFormat="false" ht="39.75" hidden="false" customHeight="true" outlineLevel="0" collapsed="false">
      <c r="A32" s="4"/>
      <c r="B32" s="4" t="s">
        <v>145</v>
      </c>
      <c r="C32" s="5" t="n">
        <v>46344</v>
      </c>
      <c r="D32" s="4" t="s">
        <v>47</v>
      </c>
      <c r="E32" s="6" t="s">
        <v>26</v>
      </c>
      <c r="F32" s="11" t="s">
        <v>48</v>
      </c>
      <c r="G32" s="6" t="s">
        <v>119</v>
      </c>
      <c r="H32" s="8" t="s">
        <v>168</v>
      </c>
      <c r="I32" s="6" t="s">
        <v>169</v>
      </c>
      <c r="J32" s="6" t="s">
        <v>170</v>
      </c>
      <c r="K32" s="6" t="s">
        <v>171</v>
      </c>
      <c r="L32" s="6" t="s">
        <v>32</v>
      </c>
      <c r="M32" s="9" t="s">
        <v>25</v>
      </c>
      <c r="N32" s="9"/>
    </row>
    <row r="33" customFormat="false" ht="51.75" hidden="false" customHeight="true" outlineLevel="0" collapsed="false">
      <c r="A33" s="4" t="n">
        <v>18</v>
      </c>
      <c r="B33" s="4" t="s">
        <v>145</v>
      </c>
      <c r="C33" s="5" t="n">
        <v>46345</v>
      </c>
      <c r="D33" s="4" t="s">
        <v>59</v>
      </c>
      <c r="E33" s="6" t="s">
        <v>17</v>
      </c>
      <c r="F33" s="12" t="s">
        <v>60</v>
      </c>
      <c r="G33" s="6" t="s">
        <v>172</v>
      </c>
      <c r="H33" s="8" t="s">
        <v>173</v>
      </c>
      <c r="I33" s="6" t="s">
        <v>174</v>
      </c>
      <c r="J33" s="6" t="s">
        <v>175</v>
      </c>
      <c r="K33" s="6" t="s">
        <v>176</v>
      </c>
      <c r="L33" s="6" t="s">
        <v>40</v>
      </c>
      <c r="M33" s="9" t="s">
        <v>25</v>
      </c>
      <c r="N33" s="9"/>
    </row>
    <row r="34" customFormat="false" ht="39.75" hidden="false" customHeight="true" outlineLevel="0" collapsed="false">
      <c r="A34" s="4"/>
      <c r="B34" s="4" t="s">
        <v>145</v>
      </c>
      <c r="C34" s="5" t="n">
        <v>46345</v>
      </c>
      <c r="D34" s="4" t="s">
        <v>59</v>
      </c>
      <c r="E34" s="6" t="s">
        <v>26</v>
      </c>
      <c r="F34" s="12" t="s">
        <v>60</v>
      </c>
      <c r="G34" s="6" t="s">
        <v>177</v>
      </c>
      <c r="H34" s="8" t="s">
        <v>178</v>
      </c>
      <c r="I34" s="6" t="s">
        <v>179</v>
      </c>
      <c r="J34" s="6" t="s">
        <v>180</v>
      </c>
      <c r="K34" s="6" t="s">
        <v>181</v>
      </c>
      <c r="L34" s="6" t="s">
        <v>46</v>
      </c>
      <c r="M34" s="9" t="s">
        <v>25</v>
      </c>
      <c r="N34" s="9"/>
    </row>
    <row r="35" customFormat="false" ht="39.75" hidden="false" customHeight="true" outlineLevel="0" collapsed="false">
      <c r="A35" s="4" t="n">
        <v>19</v>
      </c>
      <c r="B35" s="4" t="s">
        <v>145</v>
      </c>
      <c r="C35" s="5" t="n">
        <v>46346</v>
      </c>
      <c r="D35" s="4" t="s">
        <v>71</v>
      </c>
      <c r="E35" s="6" t="s">
        <v>26</v>
      </c>
      <c r="F35" s="13" t="s">
        <v>72</v>
      </c>
      <c r="G35" s="6" t="s">
        <v>182</v>
      </c>
      <c r="H35" s="8" t="s">
        <v>183</v>
      </c>
      <c r="I35" s="6" t="s">
        <v>184</v>
      </c>
      <c r="J35" s="6" t="s">
        <v>185</v>
      </c>
      <c r="K35" s="6" t="s">
        <v>186</v>
      </c>
      <c r="L35" s="6" t="s">
        <v>78</v>
      </c>
      <c r="M35" s="9" t="s">
        <v>25</v>
      </c>
      <c r="N35" s="9"/>
    </row>
    <row r="36" customFormat="false" ht="39.75" hidden="false" customHeight="true" outlineLevel="0" collapsed="false">
      <c r="A36" s="14" t="n">
        <v>20</v>
      </c>
      <c r="B36" s="14" t="s">
        <v>145</v>
      </c>
      <c r="C36" s="15" t="n">
        <v>46347</v>
      </c>
      <c r="D36" s="14" t="s">
        <v>79</v>
      </c>
      <c r="E36" s="16" t="s">
        <v>80</v>
      </c>
      <c r="F36" s="16" t="s">
        <v>72</v>
      </c>
      <c r="G36" s="16" t="s">
        <v>81</v>
      </c>
      <c r="H36" s="17" t="s">
        <v>187</v>
      </c>
      <c r="I36" s="16" t="s">
        <v>188</v>
      </c>
      <c r="J36" s="16" t="s">
        <v>189</v>
      </c>
      <c r="K36" s="16" t="s">
        <v>85</v>
      </c>
      <c r="L36" s="16" t="s">
        <v>86</v>
      </c>
      <c r="M36" s="9" t="s">
        <v>25</v>
      </c>
      <c r="N36" s="9"/>
    </row>
    <row r="37" customFormat="false" ht="39.75" hidden="false" customHeight="true" outlineLevel="0" collapsed="false">
      <c r="A37" s="14" t="n">
        <v>21</v>
      </c>
      <c r="B37" s="14" t="s">
        <v>145</v>
      </c>
      <c r="C37" s="15" t="n">
        <v>46348</v>
      </c>
      <c r="D37" s="14" t="s">
        <v>87</v>
      </c>
      <c r="E37" s="16" t="s">
        <v>88</v>
      </c>
      <c r="F37" s="16" t="s">
        <v>72</v>
      </c>
      <c r="G37" s="16" t="s">
        <v>89</v>
      </c>
      <c r="H37" s="17" t="s">
        <v>190</v>
      </c>
      <c r="I37" s="16" t="s">
        <v>191</v>
      </c>
      <c r="J37" s="16" t="s">
        <v>192</v>
      </c>
      <c r="K37" s="16" t="s">
        <v>85</v>
      </c>
      <c r="L37" s="16" t="s">
        <v>93</v>
      </c>
      <c r="M37" s="9" t="s">
        <v>25</v>
      </c>
      <c r="N37" s="9"/>
    </row>
    <row r="38" customFormat="false" ht="51.75" hidden="false" customHeight="true" outlineLevel="0" collapsed="false">
      <c r="A38" s="4" t="n">
        <v>22</v>
      </c>
      <c r="B38" s="4" t="s">
        <v>193</v>
      </c>
      <c r="C38" s="5" t="n">
        <v>46349</v>
      </c>
      <c r="D38" s="4" t="s">
        <v>16</v>
      </c>
      <c r="E38" s="6" t="s">
        <v>17</v>
      </c>
      <c r="F38" s="7" t="s">
        <v>18</v>
      </c>
      <c r="G38" s="6" t="s">
        <v>194</v>
      </c>
      <c r="H38" s="8" t="s">
        <v>195</v>
      </c>
      <c r="I38" s="6" t="s">
        <v>196</v>
      </c>
      <c r="J38" s="6" t="s">
        <v>197</v>
      </c>
      <c r="K38" s="6" t="s">
        <v>198</v>
      </c>
      <c r="L38" s="6" t="s">
        <v>24</v>
      </c>
      <c r="M38" s="9" t="s">
        <v>25</v>
      </c>
      <c r="N38" s="9"/>
    </row>
    <row r="39" customFormat="false" ht="39.75" hidden="false" customHeight="true" outlineLevel="0" collapsed="false">
      <c r="A39" s="4"/>
      <c r="B39" s="4" t="s">
        <v>193</v>
      </c>
      <c r="C39" s="5" t="n">
        <v>46349</v>
      </c>
      <c r="D39" s="4" t="s">
        <v>16</v>
      </c>
      <c r="E39" s="6" t="s">
        <v>26</v>
      </c>
      <c r="F39" s="7" t="s">
        <v>18</v>
      </c>
      <c r="G39" s="6" t="s">
        <v>54</v>
      </c>
      <c r="H39" s="8" t="s">
        <v>199</v>
      </c>
      <c r="I39" s="6" t="s">
        <v>200</v>
      </c>
      <c r="J39" s="6" t="s">
        <v>201</v>
      </c>
      <c r="K39" s="6" t="s">
        <v>202</v>
      </c>
      <c r="L39" s="6" t="s">
        <v>32</v>
      </c>
      <c r="M39" s="9" t="s">
        <v>25</v>
      </c>
      <c r="N39" s="9"/>
    </row>
    <row r="40" customFormat="false" ht="51.75" hidden="false" customHeight="true" outlineLevel="0" collapsed="false">
      <c r="A40" s="4" t="n">
        <v>23</v>
      </c>
      <c r="B40" s="4" t="s">
        <v>193</v>
      </c>
      <c r="C40" s="5" t="n">
        <v>46350</v>
      </c>
      <c r="D40" s="4" t="s">
        <v>33</v>
      </c>
      <c r="E40" s="6" t="s">
        <v>17</v>
      </c>
      <c r="F40" s="10" t="s">
        <v>34</v>
      </c>
      <c r="G40" s="6" t="s">
        <v>35</v>
      </c>
      <c r="H40" s="8" t="s">
        <v>203</v>
      </c>
      <c r="I40" s="6" t="s">
        <v>204</v>
      </c>
      <c r="J40" s="6" t="s">
        <v>205</v>
      </c>
      <c r="K40" s="6" t="s">
        <v>206</v>
      </c>
      <c r="L40" s="6" t="s">
        <v>40</v>
      </c>
      <c r="M40" s="9" t="s">
        <v>25</v>
      </c>
      <c r="N40" s="9"/>
    </row>
    <row r="41" customFormat="false" ht="39.75" hidden="false" customHeight="true" outlineLevel="0" collapsed="false">
      <c r="A41" s="4"/>
      <c r="B41" s="4" t="s">
        <v>193</v>
      </c>
      <c r="C41" s="5" t="n">
        <v>46350</v>
      </c>
      <c r="D41" s="4" t="s">
        <v>33</v>
      </c>
      <c r="E41" s="6" t="s">
        <v>26</v>
      </c>
      <c r="F41" s="10" t="s">
        <v>34</v>
      </c>
      <c r="G41" s="6" t="s">
        <v>109</v>
      </c>
      <c r="H41" s="8" t="s">
        <v>207</v>
      </c>
      <c r="I41" s="6" t="s">
        <v>208</v>
      </c>
      <c r="J41" s="6" t="s">
        <v>209</v>
      </c>
      <c r="K41" s="6" t="s">
        <v>210</v>
      </c>
      <c r="L41" s="6" t="s">
        <v>46</v>
      </c>
      <c r="M41" s="9" t="s">
        <v>25</v>
      </c>
      <c r="N41" s="9"/>
    </row>
    <row r="42" customFormat="false" ht="51.75" hidden="false" customHeight="true" outlineLevel="0" collapsed="false">
      <c r="A42" s="4" t="n">
        <v>24</v>
      </c>
      <c r="B42" s="4" t="s">
        <v>193</v>
      </c>
      <c r="C42" s="5" t="n">
        <v>46351</v>
      </c>
      <c r="D42" s="4" t="s">
        <v>47</v>
      </c>
      <c r="E42" s="6" t="s">
        <v>17</v>
      </c>
      <c r="F42" s="11" t="s">
        <v>48</v>
      </c>
      <c r="G42" s="6" t="s">
        <v>211</v>
      </c>
      <c r="H42" s="8" t="s">
        <v>212</v>
      </c>
      <c r="I42" s="6" t="s">
        <v>213</v>
      </c>
      <c r="J42" s="6" t="s">
        <v>214</v>
      </c>
      <c r="K42" s="6" t="s">
        <v>215</v>
      </c>
      <c r="L42" s="6" t="s">
        <v>24</v>
      </c>
      <c r="M42" s="9" t="s">
        <v>25</v>
      </c>
      <c r="N42" s="9"/>
    </row>
    <row r="43" customFormat="false" ht="39.75" hidden="false" customHeight="true" outlineLevel="0" collapsed="false">
      <c r="A43" s="4"/>
      <c r="B43" s="4" t="s">
        <v>193</v>
      </c>
      <c r="C43" s="5" t="n">
        <v>46351</v>
      </c>
      <c r="D43" s="4" t="s">
        <v>47</v>
      </c>
      <c r="E43" s="6" t="s">
        <v>26</v>
      </c>
      <c r="F43" s="11" t="s">
        <v>48</v>
      </c>
      <c r="G43" s="6" t="s">
        <v>54</v>
      </c>
      <c r="H43" s="8" t="s">
        <v>216</v>
      </c>
      <c r="I43" s="6" t="s">
        <v>217</v>
      </c>
      <c r="J43" s="6" t="s">
        <v>218</v>
      </c>
      <c r="K43" s="6" t="s">
        <v>219</v>
      </c>
      <c r="L43" s="6" t="s">
        <v>32</v>
      </c>
      <c r="M43" s="9" t="s">
        <v>25</v>
      </c>
      <c r="N43" s="9"/>
    </row>
    <row r="44" customFormat="false" ht="51.75" hidden="false" customHeight="true" outlineLevel="0" collapsed="false">
      <c r="A44" s="4" t="n">
        <v>25</v>
      </c>
      <c r="B44" s="4" t="s">
        <v>193</v>
      </c>
      <c r="C44" s="5" t="n">
        <v>46352</v>
      </c>
      <c r="D44" s="4" t="s">
        <v>59</v>
      </c>
      <c r="E44" s="6" t="s">
        <v>17</v>
      </c>
      <c r="F44" s="12" t="s">
        <v>60</v>
      </c>
      <c r="G44" s="6" t="s">
        <v>220</v>
      </c>
      <c r="H44" s="8" t="s">
        <v>221</v>
      </c>
      <c r="I44" s="6" t="s">
        <v>222</v>
      </c>
      <c r="J44" s="6" t="s">
        <v>223</v>
      </c>
      <c r="K44" s="6" t="s">
        <v>224</v>
      </c>
      <c r="L44" s="6" t="s">
        <v>40</v>
      </c>
      <c r="M44" s="9" t="s">
        <v>25</v>
      </c>
      <c r="N44" s="9"/>
    </row>
    <row r="45" customFormat="false" ht="39.75" hidden="false" customHeight="true" outlineLevel="0" collapsed="false">
      <c r="A45" s="4"/>
      <c r="B45" s="4" t="s">
        <v>193</v>
      </c>
      <c r="C45" s="5" t="n">
        <v>46352</v>
      </c>
      <c r="D45" s="4" t="s">
        <v>59</v>
      </c>
      <c r="E45" s="6" t="s">
        <v>26</v>
      </c>
      <c r="F45" s="12" t="s">
        <v>60</v>
      </c>
      <c r="G45" s="6" t="s">
        <v>225</v>
      </c>
      <c r="H45" s="8" t="s">
        <v>226</v>
      </c>
      <c r="I45" s="6" t="s">
        <v>227</v>
      </c>
      <c r="J45" s="6" t="s">
        <v>228</v>
      </c>
      <c r="K45" s="6" t="s">
        <v>229</v>
      </c>
      <c r="L45" s="6" t="s">
        <v>46</v>
      </c>
      <c r="M45" s="9" t="s">
        <v>25</v>
      </c>
      <c r="N45" s="9"/>
    </row>
    <row r="46" customFormat="false" ht="39.75" hidden="false" customHeight="true" outlineLevel="0" collapsed="false">
      <c r="A46" s="4" t="n">
        <v>26</v>
      </c>
      <c r="B46" s="4" t="s">
        <v>193</v>
      </c>
      <c r="C46" s="5" t="n">
        <v>46353</v>
      </c>
      <c r="D46" s="4" t="s">
        <v>71</v>
      </c>
      <c r="E46" s="6" t="s">
        <v>26</v>
      </c>
      <c r="F46" s="13" t="s">
        <v>72</v>
      </c>
      <c r="G46" s="6" t="s">
        <v>230</v>
      </c>
      <c r="H46" s="8" t="s">
        <v>231</v>
      </c>
      <c r="I46" s="6" t="s">
        <v>232</v>
      </c>
      <c r="J46" s="6" t="s">
        <v>233</v>
      </c>
      <c r="K46" s="6" t="s">
        <v>234</v>
      </c>
      <c r="L46" s="6" t="s">
        <v>78</v>
      </c>
      <c r="M46" s="9" t="s">
        <v>25</v>
      </c>
      <c r="N46" s="9"/>
    </row>
    <row r="47" customFormat="false" ht="39.75" hidden="false" customHeight="true" outlineLevel="0" collapsed="false">
      <c r="A47" s="14" t="n">
        <v>27</v>
      </c>
      <c r="B47" s="14" t="s">
        <v>193</v>
      </c>
      <c r="C47" s="15" t="n">
        <v>46354</v>
      </c>
      <c r="D47" s="14" t="s">
        <v>79</v>
      </c>
      <c r="E47" s="16" t="s">
        <v>80</v>
      </c>
      <c r="F47" s="16" t="s">
        <v>72</v>
      </c>
      <c r="G47" s="16" t="s">
        <v>81</v>
      </c>
      <c r="H47" s="17" t="s">
        <v>235</v>
      </c>
      <c r="I47" s="16" t="s">
        <v>236</v>
      </c>
      <c r="J47" s="16" t="s">
        <v>237</v>
      </c>
      <c r="K47" s="16" t="s">
        <v>85</v>
      </c>
      <c r="L47" s="16" t="s">
        <v>86</v>
      </c>
      <c r="M47" s="9" t="s">
        <v>25</v>
      </c>
      <c r="N47" s="9"/>
    </row>
    <row r="48" customFormat="false" ht="39.75" hidden="false" customHeight="true" outlineLevel="0" collapsed="false">
      <c r="A48" s="14" t="n">
        <v>28</v>
      </c>
      <c r="B48" s="14" t="s">
        <v>193</v>
      </c>
      <c r="C48" s="15" t="n">
        <v>46355</v>
      </c>
      <c r="D48" s="14" t="s">
        <v>87</v>
      </c>
      <c r="E48" s="16" t="s">
        <v>88</v>
      </c>
      <c r="F48" s="16" t="s">
        <v>72</v>
      </c>
      <c r="G48" s="16" t="s">
        <v>89</v>
      </c>
      <c r="H48" s="17" t="s">
        <v>238</v>
      </c>
      <c r="I48" s="16" t="s">
        <v>239</v>
      </c>
      <c r="J48" s="16" t="s">
        <v>240</v>
      </c>
      <c r="K48" s="16" t="s">
        <v>85</v>
      </c>
      <c r="L48" s="16" t="s">
        <v>93</v>
      </c>
      <c r="M48" s="9" t="s">
        <v>25</v>
      </c>
      <c r="N48" s="9"/>
    </row>
    <row r="49" customFormat="false" ht="51.75" hidden="false" customHeight="true" outlineLevel="0" collapsed="false">
      <c r="A49" s="4" t="n">
        <v>29</v>
      </c>
      <c r="B49" s="4" t="s">
        <v>241</v>
      </c>
      <c r="C49" s="5" t="n">
        <v>46356</v>
      </c>
      <c r="D49" s="4" t="s">
        <v>16</v>
      </c>
      <c r="E49" s="6" t="s">
        <v>17</v>
      </c>
      <c r="F49" s="7" t="s">
        <v>18</v>
      </c>
      <c r="G49" s="6" t="s">
        <v>242</v>
      </c>
      <c r="H49" s="8" t="s">
        <v>243</v>
      </c>
      <c r="I49" s="6" t="s">
        <v>244</v>
      </c>
      <c r="J49" s="6" t="s">
        <v>245</v>
      </c>
      <c r="K49" s="6" t="s">
        <v>246</v>
      </c>
      <c r="L49" s="6" t="s">
        <v>24</v>
      </c>
      <c r="M49" s="9" t="s">
        <v>25</v>
      </c>
      <c r="N49" s="9"/>
    </row>
    <row r="50" customFormat="false" ht="51.75" hidden="false" customHeight="true" outlineLevel="0" collapsed="false">
      <c r="A50" s="4"/>
      <c r="B50" s="4" t="s">
        <v>241</v>
      </c>
      <c r="C50" s="5" t="n">
        <v>46356</v>
      </c>
      <c r="D50" s="4" t="s">
        <v>16</v>
      </c>
      <c r="E50" s="6" t="s">
        <v>26</v>
      </c>
      <c r="F50" s="7" t="s">
        <v>18</v>
      </c>
      <c r="G50" s="6" t="s">
        <v>247</v>
      </c>
      <c r="H50" s="8" t="s">
        <v>248</v>
      </c>
      <c r="I50" s="6" t="s">
        <v>249</v>
      </c>
      <c r="J50" s="6" t="s">
        <v>250</v>
      </c>
      <c r="K50" s="6" t="s">
        <v>251</v>
      </c>
      <c r="L50" s="6" t="s">
        <v>32</v>
      </c>
      <c r="M50" s="9" t="s">
        <v>25</v>
      </c>
      <c r="N50" s="9"/>
    </row>
    <row r="51" customFormat="false" ht="51.75" hidden="false" customHeight="true" outlineLevel="0" collapsed="false">
      <c r="A51" s="4" t="n">
        <v>30</v>
      </c>
      <c r="B51" s="4" t="s">
        <v>241</v>
      </c>
      <c r="C51" s="5" t="n">
        <v>46357</v>
      </c>
      <c r="D51" s="4" t="s">
        <v>33</v>
      </c>
      <c r="E51" s="6" t="s">
        <v>17</v>
      </c>
      <c r="F51" s="10" t="s">
        <v>34</v>
      </c>
      <c r="G51" s="6" t="s">
        <v>35</v>
      </c>
      <c r="H51" s="8" t="s">
        <v>252</v>
      </c>
      <c r="I51" s="6" t="s">
        <v>253</v>
      </c>
      <c r="J51" s="6" t="s">
        <v>254</v>
      </c>
      <c r="K51" s="6" t="s">
        <v>255</v>
      </c>
      <c r="L51" s="6" t="s">
        <v>40</v>
      </c>
      <c r="M51" s="9" t="s">
        <v>25</v>
      </c>
      <c r="N51" s="9"/>
    </row>
    <row r="52" customFormat="false" ht="39.75" hidden="false" customHeight="true" outlineLevel="0" collapsed="false">
      <c r="A52" s="4"/>
      <c r="B52" s="4" t="s">
        <v>241</v>
      </c>
      <c r="C52" s="5" t="n">
        <v>46357</v>
      </c>
      <c r="D52" s="4" t="s">
        <v>33</v>
      </c>
      <c r="E52" s="6" t="s">
        <v>26</v>
      </c>
      <c r="F52" s="10" t="s">
        <v>34</v>
      </c>
      <c r="G52" s="6" t="s">
        <v>41</v>
      </c>
      <c r="H52" s="8" t="s">
        <v>256</v>
      </c>
      <c r="I52" s="6" t="s">
        <v>257</v>
      </c>
      <c r="J52" s="6" t="s">
        <v>258</v>
      </c>
      <c r="K52" s="6" t="s">
        <v>259</v>
      </c>
      <c r="L52" s="6" t="s">
        <v>46</v>
      </c>
      <c r="M52" s="9" t="s">
        <v>25</v>
      </c>
      <c r="N52" s="9"/>
    </row>
  </sheetData>
  <autoFilter ref="A4:N52"/>
  <mergeCells count="2">
    <mergeCell ref="A1:N1"/>
    <mergeCell ref="A2:N2"/>
  </mergeCells>
  <conditionalFormatting sqref="M5:M52">
    <cfRule type="cellIs" priority="2" operator="equal" aboveAverage="0" equalAverage="0" bottom="0" percent="0" rank="0" text="" dxfId="12">
      <formula>"Published"</formula>
    </cfRule>
    <cfRule type="cellIs" priority="3" operator="equal" aboveAverage="0" equalAverage="0" bottom="0" percent="0" rank="0" text="" dxfId="13">
      <formula>"Scheduled"</formula>
    </cfRule>
    <cfRule type="cellIs" priority="4" operator="equal" aboveAverage="0" equalAverage="0" bottom="0" percent="0" rank="0" text="" dxfId="14">
      <formula>"Not started"</formula>
    </cfRule>
  </conditionalFormatting>
  <dataValidations count="1">
    <dataValidation allowBlank="true" errorStyle="stop" operator="between" showDropDown="false" showErrorMessage="false" showInputMessage="false" sqref="M5:M52" type="list">
      <formula1>"Not started,Designed,Scheduled,Published,Repurposed"</formula1>
      <formula2>0</formula2>
    </dataValidation>
  </dataValidation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4"/>
    <col collapsed="false" customWidth="true" hidden="false" outlineLevel="0" max="6" min="2" style="0" width="22"/>
  </cols>
  <sheetData>
    <row r="1" customFormat="false" ht="25.5" hidden="false" customHeight="true" outlineLevel="0" collapsed="false">
      <c r="A1" s="1" t="s">
        <v>260</v>
      </c>
      <c r="B1" s="1"/>
      <c r="C1" s="1"/>
      <c r="D1" s="1"/>
      <c r="E1" s="1"/>
      <c r="F1" s="1"/>
    </row>
    <row r="2" customFormat="false" ht="15.75" hidden="false" customHeight="true" outlineLevel="0" collapsed="false">
      <c r="A2" s="2" t="s">
        <v>261</v>
      </c>
      <c r="B2" s="2"/>
      <c r="C2" s="2"/>
      <c r="D2" s="2"/>
      <c r="E2" s="2"/>
      <c r="F2" s="2"/>
    </row>
    <row r="4" customFormat="false" ht="27.75" hidden="false" customHeight="true" outlineLevel="0" collapsed="false">
      <c r="A4" s="18" t="s">
        <v>262</v>
      </c>
      <c r="B4" s="19" t="s">
        <v>263</v>
      </c>
      <c r="C4" s="19"/>
      <c r="D4" s="19"/>
      <c r="E4" s="19"/>
      <c r="F4" s="19"/>
    </row>
    <row r="5" customFormat="false" ht="27.75" hidden="false" customHeight="true" outlineLevel="0" collapsed="false">
      <c r="A5" s="18" t="s">
        <v>264</v>
      </c>
      <c r="B5" s="19" t="s">
        <v>265</v>
      </c>
      <c r="C5" s="19"/>
      <c r="D5" s="19"/>
      <c r="E5" s="19"/>
      <c r="F5" s="19"/>
    </row>
    <row r="6" customFormat="false" ht="27.75" hidden="false" customHeight="true" outlineLevel="0" collapsed="false">
      <c r="A6" s="18" t="s">
        <v>266</v>
      </c>
      <c r="B6" s="19" t="s">
        <v>267</v>
      </c>
      <c r="C6" s="19"/>
      <c r="D6" s="19"/>
      <c r="E6" s="19"/>
      <c r="F6" s="19"/>
    </row>
    <row r="7" customFormat="false" ht="15.75" hidden="false" customHeight="true" outlineLevel="0" collapsed="false">
      <c r="A7" s="18" t="s">
        <v>268</v>
      </c>
      <c r="B7" s="19" t="s">
        <v>269</v>
      </c>
      <c r="C7" s="19"/>
      <c r="D7" s="19"/>
      <c r="E7" s="19"/>
      <c r="F7" s="19"/>
    </row>
    <row r="8" customFormat="false" ht="15.75" hidden="false" customHeight="true" outlineLevel="0" collapsed="false">
      <c r="A8" s="18" t="s">
        <v>270</v>
      </c>
      <c r="B8" s="19" t="s">
        <v>271</v>
      </c>
      <c r="C8" s="19"/>
      <c r="D8" s="19"/>
      <c r="E8" s="19"/>
      <c r="F8" s="19"/>
    </row>
    <row r="9" customFormat="false" ht="27.75" hidden="false" customHeight="true" outlineLevel="0" collapsed="false">
      <c r="A9" s="18" t="s">
        <v>272</v>
      </c>
      <c r="B9" s="19" t="s">
        <v>273</v>
      </c>
      <c r="C9" s="19"/>
      <c r="D9" s="19"/>
      <c r="E9" s="19"/>
      <c r="F9" s="19"/>
    </row>
    <row r="10" customFormat="false" ht="15.75" hidden="false" customHeight="true" outlineLevel="0" collapsed="false">
      <c r="A10" s="18" t="s">
        <v>274</v>
      </c>
      <c r="B10" s="19" t="s">
        <v>275</v>
      </c>
      <c r="C10" s="19"/>
      <c r="D10" s="19"/>
      <c r="E10" s="19"/>
      <c r="F10" s="19"/>
    </row>
    <row r="12" customFormat="false" ht="15" hidden="false" customHeight="false" outlineLevel="0" collapsed="false">
      <c r="A12" s="20" t="s">
        <v>276</v>
      </c>
    </row>
    <row r="13" customFormat="false" ht="15" hidden="false" customHeight="false" outlineLevel="0" collapsed="false">
      <c r="A13" s="21" t="s">
        <v>277</v>
      </c>
      <c r="B13" s="22" t="n">
        <f aca="false">COUNTA(Calendar!E5:E52)</f>
        <v>48</v>
      </c>
    </row>
    <row r="14" customFormat="false" ht="15" hidden="false" customHeight="false" outlineLevel="0" collapsed="false">
      <c r="A14" s="21" t="s">
        <v>278</v>
      </c>
      <c r="B14" s="22" t="n">
        <f aca="false">COUNTIF(Calendar!E5:E52,"LinkedIn")</f>
        <v>18</v>
      </c>
    </row>
    <row r="15" customFormat="false" ht="15" hidden="false" customHeight="false" outlineLevel="0" collapsed="false">
      <c r="A15" s="21" t="s">
        <v>279</v>
      </c>
      <c r="B15" s="22" t="n">
        <f aca="false">COUNTIF(Calendar!E5:E52,"Instagram")</f>
        <v>22</v>
      </c>
    </row>
    <row r="16" customFormat="false" ht="15" hidden="false" customHeight="false" outlineLevel="0" collapsed="false">
      <c r="A16" s="21" t="s">
        <v>280</v>
      </c>
      <c r="B16" s="22" t="n">
        <f aca="false">COUNTIF(Calendar!E5:E52,"Stories + engagement")+COUNTIF(Calendar!E5:E52,"Planning day")</f>
        <v>8</v>
      </c>
    </row>
    <row r="17" customFormat="false" ht="15" hidden="false" customHeight="false" outlineLevel="0" collapsed="false">
      <c r="A17" s="21" t="s">
        <v>281</v>
      </c>
      <c r="B17" s="22" t="n">
        <f aca="false">COUNTIF(Calendar!M5:M52,"Published")</f>
        <v>0</v>
      </c>
    </row>
    <row r="18" customFormat="false" ht="15" hidden="false" customHeight="false" outlineLevel="0" collapsed="false">
      <c r="A18" s="21" t="s">
        <v>282</v>
      </c>
      <c r="B18" s="22" t="n">
        <f aca="false">COUNTIF(Calendar!M5:M52,"Not started")</f>
        <v>48</v>
      </c>
    </row>
    <row r="20" customFormat="false" ht="15" hidden="false" customHeight="false" outlineLevel="0" collapsed="false">
      <c r="A20" s="20" t="s">
        <v>283</v>
      </c>
    </row>
    <row r="21" customFormat="false" ht="15" hidden="false" customHeight="false" outlineLevel="0" collapsed="false">
      <c r="A21" s="23" t="s">
        <v>6</v>
      </c>
      <c r="B21" s="23" t="s">
        <v>284</v>
      </c>
      <c r="C21" s="23" t="s">
        <v>285</v>
      </c>
      <c r="D21" s="23" t="s">
        <v>286</v>
      </c>
    </row>
    <row r="22" customFormat="false" ht="15" hidden="false" customHeight="false" outlineLevel="0" collapsed="false">
      <c r="A22" s="24" t="s">
        <v>18</v>
      </c>
      <c r="B22" s="24" t="n">
        <f aca="false">COUNTIFS(Calendar!$F$5:$F$52,"Educate",Calendar!$E$5:$E$52,"&lt;&gt;Stories + engagement",Calendar!$E$5:$E$52,"&lt;&gt;Planning day")</f>
        <v>10</v>
      </c>
      <c r="C22" s="25" t="n">
        <f aca="false">IFERROR(B22/($B$14+$B$15),0)</f>
        <v>0.25</v>
      </c>
      <c r="D22" s="25" t="n">
        <v>0.25</v>
      </c>
    </row>
    <row r="23" customFormat="false" ht="15" hidden="false" customHeight="false" outlineLevel="0" collapsed="false">
      <c r="A23" s="24" t="s">
        <v>34</v>
      </c>
      <c r="B23" s="24" t="n">
        <f aca="false">COUNTIFS(Calendar!$F$5:$F$52,"Point of view",Calendar!$E$5:$E$52,"&lt;&gt;Stories + engagement",Calendar!$E$5:$E$52,"&lt;&gt;Planning day")</f>
        <v>10</v>
      </c>
      <c r="C23" s="25" t="n">
        <f aca="false">IFERROR(B23/($B$14+$B$15),0)</f>
        <v>0.25</v>
      </c>
      <c r="D23" s="25" t="n">
        <v>0.25</v>
      </c>
    </row>
    <row r="24" customFormat="false" ht="15" hidden="false" customHeight="false" outlineLevel="0" collapsed="false">
      <c r="A24" s="24" t="s">
        <v>48</v>
      </c>
      <c r="B24" s="24" t="n">
        <f aca="false">COUNTIFS(Calendar!$F$5:$F$52,"Proof",Calendar!$E$5:$E$52,"&lt;&gt;Stories + engagement",Calendar!$E$5:$E$52,"&lt;&gt;Planning day")</f>
        <v>8</v>
      </c>
      <c r="C24" s="25" t="n">
        <f aca="false">IFERROR(B24/($B$14+$B$15),0)</f>
        <v>0.2</v>
      </c>
      <c r="D24" s="25" t="n">
        <v>0.2</v>
      </c>
    </row>
    <row r="25" customFormat="false" ht="15" hidden="false" customHeight="false" outlineLevel="0" collapsed="false">
      <c r="A25" s="24" t="s">
        <v>60</v>
      </c>
      <c r="B25" s="24" t="n">
        <f aca="false">COUNTIFS(Calendar!$F$5:$F$52,"Product in action",Calendar!$E$5:$E$52,"&lt;&gt;Stories + engagement",Calendar!$E$5:$E$52,"&lt;&gt;Planning day")</f>
        <v>8</v>
      </c>
      <c r="C25" s="25" t="n">
        <f aca="false">IFERROR(B25/($B$14+$B$15),0)</f>
        <v>0.2</v>
      </c>
      <c r="D25" s="25" t="n">
        <v>0.2</v>
      </c>
    </row>
    <row r="26" customFormat="false" ht="15" hidden="false" customHeight="false" outlineLevel="0" collapsed="false">
      <c r="A26" s="24" t="s">
        <v>72</v>
      </c>
      <c r="B26" s="24" t="n">
        <f aca="false">COUNTIFS(Calendar!$F$5:$F$52,"Community",Calendar!$E$5:$E$52,"&lt;&gt;Stories + engagement",Calendar!$E$5:$E$52,"&lt;&gt;Planning day")</f>
        <v>4</v>
      </c>
      <c r="C26" s="25" t="n">
        <f aca="false">IFERROR(B26/($B$14+$B$15),0)</f>
        <v>0.1</v>
      </c>
      <c r="D26" s="25" t="n">
        <v>0.1</v>
      </c>
    </row>
    <row r="27" customFormat="false" ht="15" hidden="false" customHeight="false" outlineLevel="0" collapsed="false">
      <c r="A27" s="26" t="s">
        <v>287</v>
      </c>
      <c r="B27" s="26" t="n">
        <f aca="false">SUM(B22:B26)</f>
        <v>40</v>
      </c>
      <c r="C27" s="27" t="n">
        <f aca="false">SUM(C22:C26)</f>
        <v>1</v>
      </c>
      <c r="D27" s="27" t="n">
        <f aca="false">SUM(D22:D26)</f>
        <v>1</v>
      </c>
    </row>
    <row r="29" customFormat="false" ht="15" hidden="false" customHeight="false" outlineLevel="0" collapsed="false">
      <c r="A29" s="20" t="s">
        <v>288</v>
      </c>
    </row>
    <row r="30" customFormat="false" ht="13.5" hidden="false" customHeight="true" outlineLevel="0" collapsed="false">
      <c r="A30" s="28" t="s">
        <v>289</v>
      </c>
      <c r="B30" s="28"/>
      <c r="C30" s="28"/>
      <c r="D30" s="28"/>
      <c r="E30" s="28"/>
      <c r="F30" s="28"/>
    </row>
    <row r="31" customFormat="false" ht="13.5" hidden="false" customHeight="true" outlineLevel="0" collapsed="false">
      <c r="A31" s="28" t="s">
        <v>290</v>
      </c>
      <c r="B31" s="28"/>
      <c r="C31" s="28"/>
      <c r="D31" s="28"/>
      <c r="E31" s="28"/>
      <c r="F31" s="28"/>
    </row>
    <row r="32" customFormat="false" ht="13.5" hidden="false" customHeight="true" outlineLevel="0" collapsed="false">
      <c r="A32" s="28" t="s">
        <v>291</v>
      </c>
      <c r="B32" s="28"/>
      <c r="C32" s="28"/>
      <c r="D32" s="28"/>
      <c r="E32" s="28"/>
      <c r="F32" s="28"/>
    </row>
    <row r="33" customFormat="false" ht="13.5" hidden="false" customHeight="true" outlineLevel="0" collapsed="false">
      <c r="A33" s="28" t="s">
        <v>292</v>
      </c>
      <c r="B33" s="28"/>
      <c r="C33" s="28"/>
      <c r="D33" s="28"/>
      <c r="E33" s="28"/>
      <c r="F33" s="28"/>
    </row>
    <row r="34" customFormat="false" ht="13.5" hidden="false" customHeight="true" outlineLevel="0" collapsed="false">
      <c r="A34" s="28" t="s">
        <v>293</v>
      </c>
      <c r="B34" s="28"/>
      <c r="C34" s="28"/>
      <c r="D34" s="28"/>
      <c r="E34" s="28"/>
      <c r="F34" s="28"/>
    </row>
    <row r="35" customFormat="false" ht="13.5" hidden="false" customHeight="true" outlineLevel="0" collapsed="false">
      <c r="A35" s="28" t="s">
        <v>294</v>
      </c>
      <c r="B35" s="28"/>
      <c r="C35" s="28"/>
      <c r="D35" s="28"/>
      <c r="E35" s="28"/>
      <c r="F35" s="28"/>
    </row>
    <row r="36" customFormat="false" ht="13.5" hidden="false" customHeight="true" outlineLevel="0" collapsed="false">
      <c r="A36" s="28" t="s">
        <v>295</v>
      </c>
      <c r="B36" s="28"/>
      <c r="C36" s="28"/>
      <c r="D36" s="28"/>
      <c r="E36" s="28"/>
      <c r="F36" s="28"/>
    </row>
  </sheetData>
  <mergeCells count="16">
    <mergeCell ref="A1:F1"/>
    <mergeCell ref="A2:F2"/>
    <mergeCell ref="B4:F4"/>
    <mergeCell ref="B5:F5"/>
    <mergeCell ref="B6:F6"/>
    <mergeCell ref="B7:F7"/>
    <mergeCell ref="B8:F8"/>
    <mergeCell ref="B9:F9"/>
    <mergeCell ref="B10:F10"/>
    <mergeCell ref="A30:F30"/>
    <mergeCell ref="A31:F31"/>
    <mergeCell ref="A32:F32"/>
    <mergeCell ref="A33:F33"/>
    <mergeCell ref="A34:F34"/>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46"/>
    <col collapsed="false" customWidth="true" hidden="false" outlineLevel="0" max="4" min="4" style="0" width="40"/>
    <col collapsed="false" customWidth="true" hidden="false" outlineLevel="0" max="5" min="5" style="0" width="46"/>
  </cols>
  <sheetData>
    <row r="1" customFormat="false" ht="25.5" hidden="false" customHeight="true" outlineLevel="0" collapsed="false">
      <c r="A1" s="1" t="s">
        <v>296</v>
      </c>
      <c r="B1" s="1"/>
      <c r="C1" s="1"/>
      <c r="D1" s="1"/>
      <c r="E1" s="1"/>
    </row>
    <row r="2" customFormat="false" ht="15.75" hidden="false" customHeight="true" outlineLevel="0" collapsed="false">
      <c r="A2" s="2" t="s">
        <v>297</v>
      </c>
      <c r="B2" s="2"/>
      <c r="C2" s="2"/>
      <c r="D2" s="2"/>
      <c r="E2" s="2"/>
    </row>
    <row r="4" customFormat="false" ht="30" hidden="false" customHeight="true" outlineLevel="0" collapsed="false">
      <c r="A4" s="3" t="s">
        <v>6</v>
      </c>
      <c r="B4" s="3" t="s">
        <v>286</v>
      </c>
      <c r="C4" s="3" t="s">
        <v>298</v>
      </c>
      <c r="D4" s="3" t="s">
        <v>299</v>
      </c>
      <c r="E4" s="3" t="s">
        <v>300</v>
      </c>
    </row>
    <row r="5" customFormat="false" ht="42" hidden="false" customHeight="true" outlineLevel="0" collapsed="false">
      <c r="A5" s="29" t="s">
        <v>301</v>
      </c>
      <c r="B5" s="30" t="s">
        <v>302</v>
      </c>
      <c r="C5" s="30" t="s">
        <v>303</v>
      </c>
      <c r="D5" s="30" t="s">
        <v>304</v>
      </c>
      <c r="E5" s="30" t="s">
        <v>305</v>
      </c>
    </row>
    <row r="6" customFormat="false" ht="42" hidden="false" customHeight="true" outlineLevel="0" collapsed="false">
      <c r="A6" s="29" t="s">
        <v>306</v>
      </c>
      <c r="B6" s="30" t="s">
        <v>302</v>
      </c>
      <c r="C6" s="30" t="s">
        <v>307</v>
      </c>
      <c r="D6" s="30" t="s">
        <v>308</v>
      </c>
      <c r="E6" s="30" t="s">
        <v>309</v>
      </c>
    </row>
    <row r="7" customFormat="false" ht="42" hidden="false" customHeight="true" outlineLevel="0" collapsed="false">
      <c r="A7" s="29" t="s">
        <v>310</v>
      </c>
      <c r="B7" s="30" t="s">
        <v>311</v>
      </c>
      <c r="C7" s="30" t="s">
        <v>312</v>
      </c>
      <c r="D7" s="30" t="s">
        <v>313</v>
      </c>
      <c r="E7" s="30" t="s">
        <v>314</v>
      </c>
    </row>
    <row r="8" customFormat="false" ht="42" hidden="false" customHeight="true" outlineLevel="0" collapsed="false">
      <c r="A8" s="29" t="s">
        <v>315</v>
      </c>
      <c r="B8" s="30" t="s">
        <v>311</v>
      </c>
      <c r="C8" s="30" t="s">
        <v>316</v>
      </c>
      <c r="D8" s="30" t="s">
        <v>317</v>
      </c>
      <c r="E8" s="30" t="s">
        <v>318</v>
      </c>
    </row>
    <row r="9" customFormat="false" ht="42" hidden="false" customHeight="true" outlineLevel="0" collapsed="false">
      <c r="A9" s="29" t="s">
        <v>319</v>
      </c>
      <c r="B9" s="30" t="s">
        <v>320</v>
      </c>
      <c r="C9" s="30" t="s">
        <v>321</v>
      </c>
      <c r="D9" s="30" t="s">
        <v>322</v>
      </c>
      <c r="E9" s="30" t="s">
        <v>323</v>
      </c>
    </row>
    <row r="11" customFormat="false" ht="15" hidden="false" customHeight="false" outlineLevel="0" collapsed="false">
      <c r="A11" s="20" t="s">
        <v>324</v>
      </c>
    </row>
    <row r="12" customFormat="false" ht="15" hidden="false" customHeight="false" outlineLevel="0" collapsed="false">
      <c r="A12" s="31" t="s">
        <v>325</v>
      </c>
      <c r="B12" s="31"/>
      <c r="C12" s="31"/>
      <c r="D12" s="31"/>
      <c r="E12" s="31"/>
    </row>
    <row r="13" customFormat="false" ht="15" hidden="false" customHeight="false" outlineLevel="0" collapsed="false">
      <c r="A13" s="31" t="s">
        <v>326</v>
      </c>
      <c r="B13" s="31"/>
      <c r="C13" s="31"/>
      <c r="D13" s="31"/>
      <c r="E13" s="31"/>
    </row>
    <row r="14" customFormat="false" ht="15" hidden="false" customHeight="false" outlineLevel="0" collapsed="false">
      <c r="A14" s="31" t="s">
        <v>327</v>
      </c>
      <c r="B14" s="31"/>
      <c r="C14" s="31"/>
      <c r="D14" s="31"/>
      <c r="E14" s="31"/>
    </row>
    <row r="15" customFormat="false" ht="15" hidden="false" customHeight="false" outlineLevel="0" collapsed="false">
      <c r="A15" s="31" t="s">
        <v>328</v>
      </c>
      <c r="B15" s="31"/>
      <c r="C15" s="31"/>
      <c r="D15" s="31"/>
      <c r="E15" s="31"/>
    </row>
  </sheetData>
  <mergeCells count="6">
    <mergeCell ref="A1:E1"/>
    <mergeCell ref="A2:E2"/>
    <mergeCell ref="A12:E12"/>
    <mergeCell ref="A13:E13"/>
    <mergeCell ref="A14:E1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66"/>
  </cols>
  <sheetData>
    <row r="1" customFormat="false" ht="25.5" hidden="false" customHeight="true" outlineLevel="0" collapsed="false">
      <c r="A1" s="1" t="s">
        <v>329</v>
      </c>
      <c r="B1" s="1"/>
      <c r="C1" s="1"/>
    </row>
    <row r="2" customFormat="false" ht="15.75" hidden="false" customHeight="true" outlineLevel="0" collapsed="false">
      <c r="A2" s="2" t="s">
        <v>330</v>
      </c>
      <c r="B2" s="2"/>
      <c r="C2" s="2"/>
    </row>
    <row r="4" customFormat="false" ht="30" hidden="false" customHeight="true" outlineLevel="0" collapsed="false">
      <c r="A4" s="3" t="s">
        <v>331</v>
      </c>
      <c r="B4" s="3" t="s">
        <v>332</v>
      </c>
      <c r="C4" s="3" t="s">
        <v>333</v>
      </c>
    </row>
    <row r="5" customFormat="false" ht="25.5" hidden="false" customHeight="true" outlineLevel="0" collapsed="false">
      <c r="A5" s="29" t="s">
        <v>334</v>
      </c>
      <c r="B5" s="30" t="s">
        <v>335</v>
      </c>
      <c r="C5" s="30" t="s">
        <v>20</v>
      </c>
    </row>
    <row r="6" customFormat="false" ht="25.5" hidden="false" customHeight="true" outlineLevel="0" collapsed="false">
      <c r="A6" s="29" t="s">
        <v>336</v>
      </c>
      <c r="B6" s="30" t="s">
        <v>337</v>
      </c>
      <c r="C6" s="30" t="s">
        <v>338</v>
      </c>
    </row>
    <row r="7" customFormat="false" ht="25.5" hidden="false" customHeight="true" outlineLevel="0" collapsed="false">
      <c r="A7" s="29" t="s">
        <v>339</v>
      </c>
      <c r="B7" s="30" t="s">
        <v>340</v>
      </c>
      <c r="C7" s="30" t="s">
        <v>341</v>
      </c>
    </row>
    <row r="8" customFormat="false" ht="25.5" hidden="false" customHeight="true" outlineLevel="0" collapsed="false">
      <c r="A8" s="29" t="s">
        <v>342</v>
      </c>
      <c r="B8" s="30" t="s">
        <v>343</v>
      </c>
      <c r="C8" s="30" t="s">
        <v>344</v>
      </c>
    </row>
    <row r="9" customFormat="false" ht="25.5" hidden="false" customHeight="true" outlineLevel="0" collapsed="false">
      <c r="A9" s="29" t="s">
        <v>345</v>
      </c>
      <c r="B9" s="30" t="s">
        <v>346</v>
      </c>
      <c r="C9" s="30" t="s">
        <v>347</v>
      </c>
    </row>
    <row r="10" customFormat="false" ht="25.5" hidden="false" customHeight="true" outlineLevel="0" collapsed="false">
      <c r="A10" s="29" t="s">
        <v>348</v>
      </c>
      <c r="B10" s="30" t="s">
        <v>349</v>
      </c>
      <c r="C10" s="30" t="s">
        <v>350</v>
      </c>
    </row>
    <row r="11" customFormat="false" ht="25.5" hidden="false" customHeight="true" outlineLevel="0" collapsed="false">
      <c r="A11" s="29" t="s">
        <v>351</v>
      </c>
      <c r="B11" s="30" t="s">
        <v>352</v>
      </c>
      <c r="C11" s="30" t="s">
        <v>42</v>
      </c>
    </row>
    <row r="12" customFormat="false" ht="25.5" hidden="false" customHeight="true" outlineLevel="0" collapsed="false">
      <c r="A12" s="29" t="s">
        <v>353</v>
      </c>
      <c r="B12" s="30" t="s">
        <v>354</v>
      </c>
      <c r="C12" s="30" t="s">
        <v>355</v>
      </c>
    </row>
    <row r="13" customFormat="false" ht="25.5" hidden="false" customHeight="true" outlineLevel="0" collapsed="false">
      <c r="A13" s="29" t="s">
        <v>356</v>
      </c>
      <c r="B13" s="30" t="s">
        <v>357</v>
      </c>
      <c r="C13" s="30" t="s">
        <v>358</v>
      </c>
    </row>
    <row r="14" customFormat="false" ht="25.5" hidden="false" customHeight="true" outlineLevel="0" collapsed="false">
      <c r="A14" s="29" t="s">
        <v>359</v>
      </c>
      <c r="B14" s="30" t="s">
        <v>360</v>
      </c>
      <c r="C14" s="30" t="s">
        <v>361</v>
      </c>
    </row>
    <row r="15" customFormat="false" ht="25.5" hidden="false" customHeight="true" outlineLevel="0" collapsed="false">
      <c r="A15" s="29" t="s">
        <v>362</v>
      </c>
      <c r="B15" s="30" t="s">
        <v>363</v>
      </c>
      <c r="C15" s="30" t="s">
        <v>364</v>
      </c>
    </row>
    <row r="16" customFormat="false" ht="25.5" hidden="false" customHeight="true" outlineLevel="0" collapsed="false">
      <c r="A16" s="29" t="s">
        <v>365</v>
      </c>
      <c r="B16" s="30" t="s">
        <v>366</v>
      </c>
      <c r="C16" s="30" t="s">
        <v>367</v>
      </c>
    </row>
    <row r="19" customFormat="false" ht="15" hidden="false" customHeight="false" outlineLevel="0" collapsed="false">
      <c r="A19" s="32" t="s">
        <v>368</v>
      </c>
    </row>
    <row r="20" customFormat="false" ht="30" hidden="false" customHeight="true" outlineLevel="0" collapsed="false">
      <c r="A20" s="3" t="s">
        <v>369</v>
      </c>
      <c r="B20" s="3" t="s">
        <v>370</v>
      </c>
      <c r="C20" s="3" t="s">
        <v>371</v>
      </c>
    </row>
    <row r="21" customFormat="false" ht="25.5" hidden="false" customHeight="true" outlineLevel="0" collapsed="false">
      <c r="A21" s="29" t="s">
        <v>372</v>
      </c>
      <c r="B21" s="30" t="s">
        <v>373</v>
      </c>
      <c r="C21" s="30" t="s">
        <v>374</v>
      </c>
    </row>
    <row r="22" customFormat="false" ht="25.5" hidden="false" customHeight="true" outlineLevel="0" collapsed="false">
      <c r="A22" s="29" t="s">
        <v>375</v>
      </c>
      <c r="B22" s="30" t="s">
        <v>376</v>
      </c>
      <c r="C22" s="30" t="s">
        <v>377</v>
      </c>
    </row>
    <row r="23" customFormat="false" ht="25.5" hidden="false" customHeight="true" outlineLevel="0" collapsed="false">
      <c r="A23" s="29" t="s">
        <v>378</v>
      </c>
      <c r="B23" s="30" t="s">
        <v>44</v>
      </c>
      <c r="C23" s="30" t="s">
        <v>379</v>
      </c>
    </row>
    <row r="24" customFormat="false" ht="25.5" hidden="false" customHeight="true" outlineLevel="0" collapsed="false">
      <c r="A24" s="29" t="s">
        <v>380</v>
      </c>
      <c r="B24" s="30" t="s">
        <v>381</v>
      </c>
      <c r="C24" s="30" t="s">
        <v>382</v>
      </c>
    </row>
    <row r="25" customFormat="false" ht="25.5" hidden="false" customHeight="true" outlineLevel="0" collapsed="false">
      <c r="A25" s="29" t="s">
        <v>383</v>
      </c>
      <c r="B25" s="30" t="s">
        <v>384</v>
      </c>
      <c r="C25" s="30" t="s">
        <v>385</v>
      </c>
    </row>
    <row r="26" customFormat="false" ht="25.5" hidden="false" customHeight="true" outlineLevel="0" collapsed="false">
      <c r="A26" s="29" t="s">
        <v>386</v>
      </c>
      <c r="B26" s="30" t="s">
        <v>387</v>
      </c>
      <c r="C26" s="30" t="s">
        <v>388</v>
      </c>
    </row>
    <row r="28" customFormat="false" ht="15" hidden="false" customHeight="false" outlineLevel="0" collapsed="false">
      <c r="A28" s="31" t="s">
        <v>389</v>
      </c>
      <c r="B28" s="31"/>
      <c r="C28" s="31"/>
    </row>
    <row r="29" customFormat="false" ht="15" hidden="false" customHeight="false" outlineLevel="0" collapsed="false">
      <c r="A29" s="31" t="s">
        <v>390</v>
      </c>
      <c r="B29" s="31"/>
      <c r="C29" s="31"/>
    </row>
    <row r="30" customFormat="false" ht="15" hidden="false" customHeight="false" outlineLevel="0" collapsed="false">
      <c r="A30" s="31" t="s">
        <v>391</v>
      </c>
      <c r="B30" s="31"/>
      <c r="C30" s="31"/>
    </row>
    <row r="31" customFormat="false" ht="15" hidden="false" customHeight="false" outlineLevel="0" collapsed="false">
      <c r="A31" s="31" t="s">
        <v>392</v>
      </c>
      <c r="B31" s="31"/>
      <c r="C31" s="31"/>
    </row>
  </sheetData>
  <mergeCells count="6">
    <mergeCell ref="A1:C1"/>
    <mergeCell ref="A2:C2"/>
    <mergeCell ref="A28:C28"/>
    <mergeCell ref="A29:C29"/>
    <mergeCell ref="A30:C30"/>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66"/>
    <col collapsed="false" customWidth="true" hidden="false" outlineLevel="0" max="3" min="3" style="0" width="50"/>
  </cols>
  <sheetData>
    <row r="1" customFormat="false" ht="25.5" hidden="false" customHeight="true" outlineLevel="0" collapsed="false">
      <c r="A1" s="1" t="s">
        <v>393</v>
      </c>
      <c r="B1" s="1"/>
      <c r="C1" s="1"/>
    </row>
    <row r="2" customFormat="false" ht="15.75" hidden="false" customHeight="true" outlineLevel="0" collapsed="false">
      <c r="A2" s="2" t="s">
        <v>394</v>
      </c>
      <c r="B2" s="2"/>
      <c r="C2" s="2"/>
    </row>
    <row r="4" customFormat="false" ht="30" hidden="false" customHeight="true" outlineLevel="0" collapsed="false">
      <c r="A4" s="3" t="s">
        <v>395</v>
      </c>
      <c r="B4" s="3" t="s">
        <v>11</v>
      </c>
      <c r="C4" s="3" t="s">
        <v>396</v>
      </c>
    </row>
    <row r="5" customFormat="false" ht="33.75" hidden="false" customHeight="true" outlineLevel="0" collapsed="false">
      <c r="A5" s="29" t="s">
        <v>397</v>
      </c>
      <c r="B5" s="30" t="s">
        <v>398</v>
      </c>
      <c r="C5" s="30" t="s">
        <v>399</v>
      </c>
    </row>
    <row r="6" customFormat="false" ht="33.75" hidden="false" customHeight="true" outlineLevel="0" collapsed="false">
      <c r="A6" s="29" t="s">
        <v>400</v>
      </c>
      <c r="B6" s="30" t="s">
        <v>401</v>
      </c>
      <c r="C6" s="30" t="s">
        <v>402</v>
      </c>
    </row>
    <row r="7" customFormat="false" ht="33.75" hidden="false" customHeight="true" outlineLevel="0" collapsed="false">
      <c r="A7" s="29" t="s">
        <v>403</v>
      </c>
      <c r="B7" s="30" t="s">
        <v>404</v>
      </c>
      <c r="C7" s="30" t="s">
        <v>405</v>
      </c>
    </row>
    <row r="8" customFormat="false" ht="33.75" hidden="false" customHeight="true" outlineLevel="0" collapsed="false">
      <c r="A8" s="29" t="s">
        <v>406</v>
      </c>
      <c r="B8" s="30" t="s">
        <v>407</v>
      </c>
      <c r="C8" s="30" t="s">
        <v>408</v>
      </c>
    </row>
    <row r="9" customFormat="false" ht="33.75" hidden="false" customHeight="true" outlineLevel="0" collapsed="false">
      <c r="A9" s="29" t="s">
        <v>409</v>
      </c>
      <c r="B9" s="30" t="s">
        <v>410</v>
      </c>
      <c r="C9" s="30" t="s">
        <v>411</v>
      </c>
    </row>
    <row r="11" customFormat="false" ht="15" hidden="false" customHeight="false" outlineLevel="0" collapsed="false">
      <c r="A11" s="20" t="s">
        <v>412</v>
      </c>
    </row>
    <row r="12" customFormat="false" ht="15" hidden="false" customHeight="false" outlineLevel="0" collapsed="false">
      <c r="A12" s="31" t="s">
        <v>413</v>
      </c>
      <c r="B12" s="31"/>
      <c r="C12" s="31"/>
    </row>
    <row r="13" customFormat="false" ht="15" hidden="false" customHeight="false" outlineLevel="0" collapsed="false">
      <c r="A13" s="31" t="s">
        <v>414</v>
      </c>
      <c r="B13" s="31"/>
      <c r="C13" s="31"/>
    </row>
    <row r="14" customFormat="false" ht="15" hidden="false" customHeight="false" outlineLevel="0" collapsed="false">
      <c r="A14" s="31" t="s">
        <v>415</v>
      </c>
      <c r="B14" s="31"/>
      <c r="C14" s="31"/>
    </row>
    <row r="15" customFormat="false" ht="15" hidden="false" customHeight="false" outlineLevel="0" collapsed="false">
      <c r="A15" s="31" t="s">
        <v>416</v>
      </c>
      <c r="B15" s="31"/>
      <c r="C15" s="31"/>
    </row>
    <row r="16" customFormat="false" ht="15" hidden="false" customHeight="false" outlineLevel="0" collapsed="false">
      <c r="A16" s="31" t="s">
        <v>417</v>
      </c>
      <c r="B16" s="31"/>
      <c r="C16" s="31"/>
    </row>
  </sheetData>
  <mergeCells count="7">
    <mergeCell ref="A1:C1"/>
    <mergeCell ref="A2:C2"/>
    <mergeCell ref="A12:C12"/>
    <mergeCell ref="A13:C13"/>
    <mergeCell ref="A14:C14"/>
    <mergeCell ref="A15:C15"/>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30"/>
    <col collapsed="false" customWidth="true" hidden="false" outlineLevel="0" max="4" min="4" style="0" width="74"/>
  </cols>
  <sheetData>
    <row r="1" customFormat="false" ht="25.5" hidden="false" customHeight="true" outlineLevel="0" collapsed="false">
      <c r="A1" s="1" t="s">
        <v>418</v>
      </c>
      <c r="B1" s="1"/>
      <c r="C1" s="1"/>
      <c r="D1" s="1"/>
    </row>
    <row r="2" customFormat="false" ht="15.75" hidden="false" customHeight="true" outlineLevel="0" collapsed="false">
      <c r="A2" s="2" t="s">
        <v>419</v>
      </c>
      <c r="B2" s="2"/>
      <c r="C2" s="2"/>
      <c r="D2" s="2"/>
    </row>
    <row r="4" customFormat="false" ht="30" hidden="false" customHeight="true" outlineLevel="0" collapsed="false">
      <c r="A4" s="3" t="s">
        <v>2</v>
      </c>
      <c r="B4" s="3" t="s">
        <v>420</v>
      </c>
      <c r="C4" s="3" t="s">
        <v>421</v>
      </c>
      <c r="D4" s="3" t="s">
        <v>422</v>
      </c>
    </row>
    <row r="5" customFormat="false" ht="27.75" hidden="false" customHeight="true" outlineLevel="0" collapsed="false">
      <c r="A5" s="29" t="s">
        <v>423</v>
      </c>
      <c r="B5" s="30" t="s">
        <v>424</v>
      </c>
      <c r="C5" s="30" t="s">
        <v>425</v>
      </c>
      <c r="D5" s="30" t="s">
        <v>426</v>
      </c>
    </row>
    <row r="6" customFormat="false" ht="27.75" hidden="false" customHeight="true" outlineLevel="0" collapsed="false">
      <c r="A6" s="29" t="s">
        <v>427</v>
      </c>
      <c r="B6" s="30" t="s">
        <v>428</v>
      </c>
      <c r="C6" s="30" t="s">
        <v>429</v>
      </c>
      <c r="D6" s="30" t="s">
        <v>430</v>
      </c>
    </row>
    <row r="7" customFormat="false" ht="27.75" hidden="false" customHeight="true" outlineLevel="0" collapsed="false">
      <c r="A7" s="29" t="s">
        <v>431</v>
      </c>
      <c r="B7" s="30" t="s">
        <v>432</v>
      </c>
      <c r="C7" s="30" t="s">
        <v>425</v>
      </c>
      <c r="D7" s="30" t="s">
        <v>433</v>
      </c>
    </row>
    <row r="8" customFormat="false" ht="27.75" hidden="false" customHeight="true" outlineLevel="0" collapsed="false">
      <c r="A8" s="29" t="s">
        <v>434</v>
      </c>
      <c r="B8" s="30" t="s">
        <v>428</v>
      </c>
      <c r="C8" s="30" t="s">
        <v>429</v>
      </c>
      <c r="D8" s="30" t="s">
        <v>435</v>
      </c>
    </row>
    <row r="9" customFormat="false" ht="27.75" hidden="false" customHeight="true" outlineLevel="0" collapsed="false">
      <c r="A9" s="29" t="s">
        <v>436</v>
      </c>
      <c r="B9" s="30" t="s">
        <v>437</v>
      </c>
      <c r="C9" s="30" t="s">
        <v>438</v>
      </c>
      <c r="D9" s="30" t="s">
        <v>439</v>
      </c>
    </row>
    <row r="10" customFormat="false" ht="27.75" hidden="false" customHeight="true" outlineLevel="0" collapsed="false">
      <c r="A10" s="29" t="s">
        <v>440</v>
      </c>
      <c r="B10" s="30" t="s">
        <v>437</v>
      </c>
      <c r="C10" s="30" t="s">
        <v>441</v>
      </c>
      <c r="D10" s="30" t="s">
        <v>442</v>
      </c>
    </row>
    <row r="11" customFormat="false" ht="27.75" hidden="false" customHeight="true" outlineLevel="0" collapsed="false">
      <c r="A11" s="29" t="s">
        <v>443</v>
      </c>
      <c r="B11" s="30" t="s">
        <v>437</v>
      </c>
      <c r="C11" s="30" t="s">
        <v>444</v>
      </c>
      <c r="D11" s="30" t="s">
        <v>445</v>
      </c>
    </row>
    <row r="13" customFormat="false" ht="15" hidden="false" customHeight="false" outlineLevel="0" collapsed="false">
      <c r="A13" s="20" t="s">
        <v>446</v>
      </c>
    </row>
    <row r="14" customFormat="false" ht="15" hidden="false" customHeight="false" outlineLevel="0" collapsed="false">
      <c r="A14" s="31" t="s">
        <v>447</v>
      </c>
      <c r="B14" s="31"/>
      <c r="C14" s="31"/>
      <c r="D14" s="31"/>
    </row>
    <row r="15" customFormat="false" ht="15" hidden="false" customHeight="false" outlineLevel="0" collapsed="false">
      <c r="A15" s="31" t="s">
        <v>448</v>
      </c>
      <c r="B15" s="31"/>
      <c r="C15" s="31"/>
      <c r="D15" s="31"/>
    </row>
    <row r="16" customFormat="false" ht="15" hidden="false" customHeight="false" outlineLevel="0" collapsed="false">
      <c r="A16" s="31" t="s">
        <v>449</v>
      </c>
      <c r="B16" s="31"/>
      <c r="C16" s="31"/>
      <c r="D16" s="31"/>
    </row>
    <row r="17" customFormat="false" ht="15" hidden="false" customHeight="false" outlineLevel="0" collapsed="false">
      <c r="A17" s="31" t="s">
        <v>450</v>
      </c>
      <c r="B17" s="31"/>
      <c r="C17" s="31"/>
      <c r="D17" s="31"/>
    </row>
    <row r="18" customFormat="false" ht="15" hidden="false" customHeight="false" outlineLevel="0" collapsed="false">
      <c r="A18" s="31" t="s">
        <v>451</v>
      </c>
      <c r="B18" s="31"/>
      <c r="C18" s="31"/>
      <c r="D18" s="31"/>
    </row>
  </sheetData>
  <mergeCells count="7">
    <mergeCell ref="A1:D1"/>
    <mergeCell ref="A2:D2"/>
    <mergeCell ref="A14:D14"/>
    <mergeCell ref="A15:D15"/>
    <mergeCell ref="A16:D16"/>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4" min="3" style="0" width="15"/>
    <col collapsed="false" customWidth="true" hidden="false" outlineLevel="0" max="5" min="5" style="0" width="13"/>
    <col collapsed="false" customWidth="true" hidden="false" outlineLevel="0" max="6" min="6" style="0" width="17"/>
    <col collapsed="false" customWidth="true" hidden="false" outlineLevel="0" max="7" min="7" style="0" width="14"/>
    <col collapsed="false" customWidth="true" hidden="false" outlineLevel="0" max="8" min="8" style="0" width="22"/>
  </cols>
  <sheetData>
    <row r="1" customFormat="false" ht="25.5" hidden="false" customHeight="true" outlineLevel="0" collapsed="false">
      <c r="A1" s="1" t="s">
        <v>452</v>
      </c>
      <c r="B1" s="1"/>
      <c r="C1" s="1"/>
      <c r="D1" s="1"/>
      <c r="E1" s="1"/>
      <c r="F1" s="1"/>
      <c r="G1" s="1"/>
      <c r="H1" s="1"/>
    </row>
    <row r="2" customFormat="false" ht="15.75" hidden="false" customHeight="true" outlineLevel="0" collapsed="false">
      <c r="A2" s="2" t="s">
        <v>453</v>
      </c>
      <c r="B2" s="2"/>
      <c r="C2" s="2"/>
      <c r="D2" s="2"/>
      <c r="E2" s="2"/>
      <c r="F2" s="2"/>
      <c r="G2" s="2"/>
      <c r="H2" s="2"/>
    </row>
    <row r="4" customFormat="false" ht="30" hidden="false" customHeight="true" outlineLevel="0" collapsed="false">
      <c r="A4" s="3" t="s">
        <v>454</v>
      </c>
      <c r="B4" s="3" t="s">
        <v>5</v>
      </c>
      <c r="C4" s="3" t="s">
        <v>455</v>
      </c>
      <c r="D4" s="3" t="s">
        <v>456</v>
      </c>
      <c r="E4" s="3" t="s">
        <v>457</v>
      </c>
      <c r="F4" s="3" t="s">
        <v>458</v>
      </c>
      <c r="G4" s="3" t="s">
        <v>13</v>
      </c>
      <c r="H4" s="3" t="s">
        <v>459</v>
      </c>
    </row>
    <row r="5" customFormat="false" ht="21.75" hidden="false" customHeight="true" outlineLevel="0" collapsed="false">
      <c r="A5" s="33" t="s">
        <v>460</v>
      </c>
      <c r="B5" s="34" t="s">
        <v>17</v>
      </c>
      <c r="C5" s="35" t="n">
        <v>0</v>
      </c>
      <c r="D5" s="36" t="n">
        <f aca="false">IF(C5="","",C5*1.2)</f>
        <v>0</v>
      </c>
      <c r="E5" s="35"/>
      <c r="F5" s="37" t="str">
        <f aca="false">IF(E5="","",IFERROR(E5/D5-1,""))</f>
        <v/>
      </c>
      <c r="G5" s="34" t="str">
        <f aca="false">IF(E5="","Not logged",IF(E5&gt;=D5,"On track","Behind"))</f>
        <v>Not logged</v>
      </c>
      <c r="H5" s="38" t="s">
        <v>461</v>
      </c>
    </row>
    <row r="6" customFormat="false" ht="21.75" hidden="false" customHeight="true" outlineLevel="0" collapsed="false">
      <c r="A6" s="33" t="s">
        <v>460</v>
      </c>
      <c r="B6" s="34" t="s">
        <v>26</v>
      </c>
      <c r="C6" s="35" t="n">
        <v>0</v>
      </c>
      <c r="D6" s="36" t="n">
        <f aca="false">IF(C6="","",C6*1.25)</f>
        <v>0</v>
      </c>
      <c r="E6" s="35"/>
      <c r="F6" s="37" t="str">
        <f aca="false">IF(E6="","",IFERROR(E6/D6-1,""))</f>
        <v/>
      </c>
      <c r="G6" s="34" t="str">
        <f aca="false">IF(E6="","Not logged",IF(E6&gt;=D6,"On track","Behind"))</f>
        <v>Not logged</v>
      </c>
      <c r="H6" s="38" t="s">
        <v>462</v>
      </c>
    </row>
    <row r="7" customFormat="false" ht="21.75" hidden="false" customHeight="true" outlineLevel="0" collapsed="false">
      <c r="A7" s="33" t="s">
        <v>463</v>
      </c>
      <c r="B7" s="34" t="s">
        <v>464</v>
      </c>
      <c r="C7" s="35" t="n">
        <v>0</v>
      </c>
      <c r="D7" s="36" t="n">
        <f aca="false">IF(C7="","",C7*1.3)</f>
        <v>0</v>
      </c>
      <c r="E7" s="35"/>
      <c r="F7" s="37" t="str">
        <f aca="false">IF(E7="","",IFERROR(E7/D7-1,""))</f>
        <v/>
      </c>
      <c r="G7" s="34" t="str">
        <f aca="false">IF(E7="","Not logged",IF(E7&gt;=D7,"On track","Behind"))</f>
        <v>Not logged</v>
      </c>
      <c r="H7" s="38" t="s">
        <v>465</v>
      </c>
    </row>
    <row r="8" customFormat="false" ht="21.75" hidden="false" customHeight="true" outlineLevel="0" collapsed="false">
      <c r="A8" s="33" t="s">
        <v>466</v>
      </c>
      <c r="B8" s="34" t="s">
        <v>26</v>
      </c>
      <c r="C8" s="35" t="n">
        <v>0</v>
      </c>
      <c r="D8" s="36" t="n">
        <v>40</v>
      </c>
      <c r="E8" s="35"/>
      <c r="F8" s="37" t="str">
        <f aca="false">IF(E8="","",IFERROR(E8/D8-1,""))</f>
        <v/>
      </c>
      <c r="G8" s="34" t="str">
        <f aca="false">IF(E8="","Not logged",IF(E8&gt;=D8,"On track","Behind"))</f>
        <v>Not logged</v>
      </c>
      <c r="H8" s="38" t="s">
        <v>467</v>
      </c>
    </row>
    <row r="9" customFormat="false" ht="21.75" hidden="false" customHeight="true" outlineLevel="0" collapsed="false">
      <c r="A9" s="33" t="s">
        <v>468</v>
      </c>
      <c r="B9" s="34" t="s">
        <v>17</v>
      </c>
      <c r="C9" s="35" t="n">
        <v>0</v>
      </c>
      <c r="D9" s="36" t="n">
        <f aca="false">IF(C9="","",C9*1.5)</f>
        <v>0</v>
      </c>
      <c r="E9" s="35"/>
      <c r="F9" s="37" t="str">
        <f aca="false">IF(E9="","",IFERROR(E9/D9-1,""))</f>
        <v/>
      </c>
      <c r="G9" s="34" t="str">
        <f aca="false">IF(E9="","Not logged",IF(E9&gt;=D9,"On track","Behind"))</f>
        <v>Not logged</v>
      </c>
      <c r="H9" s="38" t="s">
        <v>469</v>
      </c>
    </row>
    <row r="10" customFormat="false" ht="21.75" hidden="false" customHeight="true" outlineLevel="0" collapsed="false">
      <c r="A10" s="33" t="s">
        <v>470</v>
      </c>
      <c r="B10" s="34" t="s">
        <v>464</v>
      </c>
      <c r="C10" s="35" t="n">
        <v>0</v>
      </c>
      <c r="D10" s="36" t="n">
        <f aca="false">IF(C10="","",C10*1.4)</f>
        <v>0</v>
      </c>
      <c r="E10" s="35"/>
      <c r="F10" s="37" t="str">
        <f aca="false">IF(E10="","",IFERROR(E10/D10-1,""))</f>
        <v/>
      </c>
      <c r="G10" s="34" t="str">
        <f aca="false">IF(E10="","Not logged",IF(E10&gt;=D10,"On track","Behind"))</f>
        <v>Not logged</v>
      </c>
      <c r="H10" s="38" t="s">
        <v>471</v>
      </c>
    </row>
    <row r="11" customFormat="false" ht="21.75" hidden="false" customHeight="true" outlineLevel="0" collapsed="false">
      <c r="A11" s="33" t="s">
        <v>472</v>
      </c>
      <c r="B11" s="34" t="s">
        <v>464</v>
      </c>
      <c r="C11" s="35" t="n">
        <v>0</v>
      </c>
      <c r="D11" s="39" t="n">
        <v>0.015</v>
      </c>
      <c r="E11" s="35"/>
      <c r="F11" s="37" t="str">
        <f aca="false">IF(E11="","",IFERROR(E11/D11-1,""))</f>
        <v/>
      </c>
      <c r="G11" s="34" t="str">
        <f aca="false">IF(E11="","Not logged",IF(E11&gt;=D11,"On track","Behind"))</f>
        <v>Not logged</v>
      </c>
      <c r="H11" s="38" t="s">
        <v>473</v>
      </c>
    </row>
    <row r="12" customFormat="false" ht="21.75" hidden="false" customHeight="true" outlineLevel="0" collapsed="false">
      <c r="A12" s="33" t="s">
        <v>474</v>
      </c>
      <c r="B12" s="34" t="s">
        <v>464</v>
      </c>
      <c r="C12" s="35" t="n">
        <v>0</v>
      </c>
      <c r="D12" s="36" t="n">
        <v>25</v>
      </c>
      <c r="E12" s="35"/>
      <c r="F12" s="37" t="str">
        <f aca="false">IF(E12="","",IFERROR(E12/D12-1,""))</f>
        <v/>
      </c>
      <c r="G12" s="34" t="str">
        <f aca="false">IF(E12="","Not logged",IF(E12&gt;=D12,"On track","Behind"))</f>
        <v>Not logged</v>
      </c>
      <c r="H12" s="38" t="s">
        <v>475</v>
      </c>
    </row>
    <row r="14" customFormat="false" ht="15" hidden="false" customHeight="false" outlineLevel="0" collapsed="false">
      <c r="A14" s="20" t="s">
        <v>476</v>
      </c>
    </row>
    <row r="15" customFormat="false" ht="15" hidden="false" customHeight="false" outlineLevel="0" collapsed="false">
      <c r="A15" s="31" t="s">
        <v>477</v>
      </c>
      <c r="B15" s="31"/>
      <c r="C15" s="31"/>
      <c r="D15" s="31"/>
      <c r="E15" s="31"/>
      <c r="F15" s="31"/>
      <c r="G15" s="31"/>
      <c r="H15" s="31"/>
    </row>
    <row r="16" customFormat="false" ht="15" hidden="false" customHeight="false" outlineLevel="0" collapsed="false">
      <c r="A16" s="31" t="s">
        <v>478</v>
      </c>
      <c r="B16" s="31"/>
      <c r="C16" s="31"/>
      <c r="D16" s="31"/>
      <c r="E16" s="31"/>
      <c r="F16" s="31"/>
      <c r="G16" s="31"/>
      <c r="H16" s="31"/>
    </row>
    <row r="17" customFormat="false" ht="15" hidden="false" customHeight="false" outlineLevel="0" collapsed="false">
      <c r="A17" s="31" t="s">
        <v>479</v>
      </c>
      <c r="B17" s="31"/>
      <c r="C17" s="31"/>
      <c r="D17" s="31"/>
      <c r="E17" s="31"/>
      <c r="F17" s="31"/>
      <c r="G17" s="31"/>
      <c r="H17" s="31"/>
    </row>
    <row r="18" customFormat="false" ht="15" hidden="false" customHeight="false" outlineLevel="0" collapsed="false">
      <c r="A18" s="31" t="s">
        <v>480</v>
      </c>
      <c r="B18" s="31"/>
      <c r="C18" s="31"/>
      <c r="D18" s="31"/>
      <c r="E18" s="31"/>
      <c r="F18" s="31"/>
      <c r="G18" s="31"/>
      <c r="H18" s="31"/>
    </row>
  </sheetData>
  <mergeCells count="6">
    <mergeCell ref="A1:H1"/>
    <mergeCell ref="A2:H2"/>
    <mergeCell ref="A15:H15"/>
    <mergeCell ref="A16:H16"/>
    <mergeCell ref="A17:H17"/>
    <mergeCell ref="A18:H18"/>
  </mergeCells>
  <conditionalFormatting sqref="G5:G12">
    <cfRule type="cellIs" priority="2" operator="equal" aboveAverage="0" equalAverage="0" bottom="0" percent="0" rank="0" text="" dxfId="15">
      <formula>"On track"</formula>
    </cfRule>
    <cfRule type="cellIs" priority="3" operator="equal" aboveAverage="0" equalAverage="0" bottom="0" percent="0" rank="0" text="" dxfId="16">
      <formula>"Behind"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2026-10-29T04:11:19Z</dcterms:created>
  <dc:creator>openpyxl</dc:creator>
  <dc:description/>
  <dc:language>en-US</dc:language>
  <cp:lastModifiedBy/>
  <dcterms:modified xsi:type="dcterms:W3CDTF">2026-10-29T04:11:19Z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